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c26db083746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turns Table" sheetId="1" r:id="Rcf428075cdcd427e"/>
    <x:sheet xmlns:r="http://schemas.openxmlformats.org/officeDocument/2006/relationships" name="Notes" sheetId="2" r:id="R0cf62728330446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#,##0.00"/>
    <x:numFmt numFmtId="203" formatCode="0.00%"/>
    <x:numFmt numFmtId="204" formatCode="yyyy-mm-dd hh:mm"/>
  </x:numFmts>
  <x:fonts count="5">
    <x:font>
      <x:sz val="11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  <x:font>
      <x:b/>
      <x:sz val="13"/>
      <x:color rgb="FFFFFFFF"/>
      <x:name val="Aptos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E63"/>
      </x:patternFill>
    </x:fill>
    <x:fill>
      <x:patternFill patternType="solid">
        <x:fgColor rgb="FFE0F2FE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left"/>
    </x:xf>
    <x:xf numFmtId="201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2" xfId="0" applyNumberFormat="1" applyFont="1" applyFill="1" applyBorder="1" applyAlignment="1">
      <x:alignment horizontal="left"/>
    </x:xf>
    <x:xf numFmtId="0" fontId="1" fillId="0" borderId="2" xfId="0" applyNumberFormat="1" applyFont="1" applyFill="1" applyBorder="1" applyAlignment="1">
      <x:alignment horizontal="left"/>
    </x:xf>
    <x:xf numFmtId="201" fontId="1" fillId="0" borderId="2" xfId="0" applyNumberFormat="1" applyFont="1" applyFill="1" applyBorder="1" applyAlignment="1">
      <x:alignment horizontal="right"/>
    </x:xf>
    <x:xf numFmtId="202" fontId="1" fillId="0" borderId="2" xfId="0" applyNumberFormat="1" applyFont="1" applyFill="1" applyBorder="1" applyAlignment="1">
      <x:alignment horizontal="right"/>
    </x:xf>
    <x:xf numFmtId="203" fontId="1" fillId="0" borderId="2" xfId="0" applyNumberFormat="1" applyFont="1" applyFill="1" applyBorder="1" applyAlignment="1">
      <x:alignment horizontal="right"/>
    </x:xf>
    <x:xf numFmtId="200" fontId="1" fillId="0" borderId="3" xfId="0" applyNumberFormat="1" applyFont="1" applyFill="1" applyBorder="1" applyAlignment="1">
      <x:alignment horizontal="left"/>
    </x:xf>
    <x:xf numFmtId="0" fontId="1" fillId="0" borderId="3" xfId="0" applyNumberFormat="1" applyFont="1" applyFill="1" applyBorder="1" applyAlignment="1">
      <x:alignment horizontal="left"/>
    </x:xf>
    <x:xf numFmtId="201" fontId="1" fillId="0" borderId="3" xfId="0" applyNumberFormat="1" applyFont="1" applyFill="1" applyBorder="1" applyAlignment="1">
      <x:alignment horizontal="right"/>
    </x:xf>
    <x:xf numFmtId="202" fontId="1" fillId="0" borderId="3" xfId="0" applyNumberFormat="1" applyFont="1" applyFill="1" applyBorder="1" applyAlignment="1">
      <x:alignment horizontal="right"/>
    </x:xf>
    <x:xf numFmtId="203" fontId="1" fillId="0" borderId="3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439a87de684815" /><Relationship Type="http://schemas.openxmlformats.org/officeDocument/2006/relationships/theme" Target="/xl/theme/theme1.xml" Id="Reb7c1ca1d23c4cd4" /><Relationship Type="http://schemas.openxmlformats.org/officeDocument/2006/relationships/sharedStrings" Target="/xl/sharedStrings.xml" Id="R609d8766128d45af" /><Relationship Type="http://schemas.openxmlformats.org/officeDocument/2006/relationships/worksheet" Target="/xl/worksheets/sheet1.xml" Id="Rcf428075cdcd427e" /><Relationship Type="http://schemas.openxmlformats.org/officeDocument/2006/relationships/worksheet" Target="/xl/worksheets/sheet2.xml" Id="R0cf62728330446df" /></Relationships>
</file>

<file path=xl/tables/table1.xml><?xml version="1.0" encoding="utf-8"?>
<x:table xmlns:x="http://schemas.openxmlformats.org/spreadsheetml/2006/main" id="1" name="PortfolioVsNiftyReturns" displayName="PortfolioVsNiftyReturns" ref="A1:K86" headerRowCount="1" totalsRowCount="0" totalsRowShown="0">
  <x:autoFilter ref="A1:K86"/>
  <x:tableColumns count="11">
    <x:tableColumn id="1" name="Investment Date"/>
    <x:tableColumn id="2" name="Month/Year"/>
    <x:tableColumn id="3" name="Stocks"/>
    <x:tableColumn id="4" name="Invested (Rs)"/>
    <x:tableColumn id="5" name="Portfolio 1Y Return"/>
    <x:tableColumn id="6" name="NIFTY 50 1Y Return"/>
    <x:tableColumn id="7" name="Portfolio Total Return"/>
    <x:tableColumn id="8" name="NIFTY 50 Total Return"/>
    <x:tableColumn id="9" name="Portfolio CAGR"/>
    <x:tableColumn id="10" name="NIFTY 50 CAGR"/>
    <x:tableColumn id="11" name="Alpha Total Retur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99aeffec2841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0" hidden="0" customWidth="1"/>
    <x:col min="3" max="3" width="7.78000020980835" hidden="0" customWidth="1"/>
    <x:col min="4" max="4" width="10.5600004196167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13.329999923706055" hidden="0" customWidth="1"/>
    <x:col min="11" max="11" width="13.329999923706055" hidden="0" customWidth="1"/>
  </x:cols>
  <x:sheetData>
    <x:row r="1" ht="31.5" customHeight="1">
      <x:c r="A1" s="13" t="str">
        <x:v>Investment Date</x:v>
      </x:c>
      <x:c r="B1" s="13" t="str">
        <x:v>Month/Year</x:v>
      </x:c>
      <x:c r="C1" s="13" t="str">
        <x:v>Stocks</x:v>
      </x:c>
      <x:c r="D1" s="13" t="str">
        <x:v>Invested (Rs)</x:v>
      </x:c>
      <x:c r="E1" s="13" t="str">
        <x:v>Portfolio 1Y Return</x:v>
      </x:c>
      <x:c r="F1" s="13" t="str">
        <x:v>NIFTY 50 1Y Return</x:v>
      </x:c>
      <x:c r="G1" s="13" t="str">
        <x:v>Portfolio Total Return</x:v>
      </x:c>
      <x:c r="H1" s="13" t="str">
        <x:v>NIFTY 50 Total Return</x:v>
      </x:c>
      <x:c r="I1" s="13" t="str">
        <x:v>Portfolio CAGR</x:v>
      </x:c>
      <x:c r="J1" s="13" t="str">
        <x:v>NIFTY 50 CAGR</x:v>
      </x:c>
      <x:c r="K1" s="13" t="str">
        <x:v>Alpha Total Return</x:v>
      </x:c>
    </x:row>
    <x:row r="2">
      <x:c r="A2" s="14" t="n">
        <x:v>42095</x:v>
      </x:c>
      <x:c r="B2" s="15" t="str">
        <x:v>Apr-2015</x:v>
      </x:c>
      <x:c r="C2" s="16" t="n">
        <x:v>24</x:v>
      </x:c>
      <x:c r="D2" s="17" t="n">
        <x:v>2400</x:v>
      </x:c>
      <x:c r="E2" s="18" t="n">
        <x:v>-0.0106</x:v>
      </x:c>
      <x:c r="F2" s="18" t="n">
        <x:v>-0.1017</x:v>
      </x:c>
      <x:c r="G2" s="18" t="n">
        <x:v>5.823300000000001</x:v>
      </x:c>
      <x:c r="H2" s="18" t="n">
        <x:v>1.8193000000000001</x:v>
      </x:c>
      <x:c r="I2" s="18" t="n">
        <x:v>0.1857</x:v>
      </x:c>
      <x:c r="J2" s="18" t="n">
        <x:v>0.09630000000000001</x:v>
      </x:c>
      <x:c r="K2" s="18" t="n">
        <x:f>G2-H2</x:f>
        <x:v>4.0040000000000004</x:v>
      </x:c>
    </x:row>
    <x:row r="3">
      <x:c r="A3" s="14" t="n">
        <x:v>42125</x:v>
      </x:c>
      <x:c r="B3" s="15" t="str">
        <x:v>May-2015</x:v>
      </x:c>
      <x:c r="C3" s="16" t="n">
        <x:v>8</x:v>
      </x:c>
      <x:c r="D3" s="17" t="n">
        <x:v>800</x:v>
      </x:c>
      <x:c r="E3" s="18" t="n">
        <x:v>-0.1935</x:v>
      </x:c>
      <x:c r="F3" s="18" t="n">
        <x:v>-0.06309999999999999</x:v>
      </x:c>
      <x:c r="G3" s="18" t="n">
        <x:v>2.7994</x:v>
      </x:c>
      <x:c r="H3" s="18" t="n">
        <x:v>1.9053</x:v>
      </x:c>
      <x:c r="I3" s="18" t="n">
        <x:v>0.1267</x:v>
      </x:c>
      <x:c r="J3" s="18" t="n">
        <x:v>0.1</x:v>
      </x:c>
      <x:c r="K3" s="18" t="n">
        <x:f>G3-H3</x:f>
        <x:v>0.8940999999999999</x:v>
      </x:c>
    </x:row>
    <x:row r="4">
      <x:c r="A4" s="14" t="n">
        <x:v>42156</x:v>
      </x:c>
      <x:c r="B4" s="15" t="str">
        <x:v>Jun-2015</x:v>
      </x:c>
      <x:c r="C4" s="16" t="n">
        <x:v>3</x:v>
      </x:c>
      <x:c r="D4" s="17" t="n">
        <x:v>300</x:v>
      </x:c>
      <x:c r="E4" s="18" t="n">
        <x:v>0.2194</x:v>
      </x:c>
      <x:c r="F4" s="18" t="n">
        <x:v>-0.0301</x:v>
      </x:c>
      <x:c r="G4" s="18" t="n">
        <x:v>8.774</x:v>
      </x:c>
      <x:c r="H4" s="18" t="n">
        <x:v>1.8703999999999998</x:v>
      </x:c>
      <x:c r="I4" s="18" t="n">
        <x:v>0.2278</x:v>
      </x:c>
      <x:c r="J4" s="18" t="n">
        <x:v>0.09960000000000001</x:v>
      </x:c>
      <x:c r="K4" s="18" t="n">
        <x:f>G4-H4</x:f>
        <x:v>6.903599999999999</x:v>
      </x:c>
    </x:row>
    <x:row r="5">
      <x:c r="A5" s="14" t="n">
        <x:v>42248</x:v>
      </x:c>
      <x:c r="B5" s="15" t="str">
        <x:v>Sep-2015</x:v>
      </x:c>
      <x:c r="C5" s="16" t="n">
        <x:v>3</x:v>
      </x:c>
      <x:c r="D5" s="17" t="n">
        <x:v>300</x:v>
      </x:c>
      <x:c r="E5" s="18" t="n">
        <x:v>0.22039999999999998</x:v>
      </x:c>
      <x:c r="F5" s="18" t="n">
        <x:v>0.127</x:v>
      </x:c>
      <x:c r="G5" s="18" t="n">
        <x:v>3.452</x:v>
      </x:c>
      <x:c r="H5" s="18" t="n">
        <x:v>2.1090999999999998</x:v>
      </x:c>
      <x:c r="I5" s="18" t="n">
        <x:v>0.1475</x:v>
      </x:c>
      <x:c r="J5" s="18" t="n">
        <x:v>0.1101</x:v>
      </x:c>
      <x:c r="K5" s="18" t="n">
        <x:f>G5-H5</x:f>
        <x:v>1.3429000000000002</x:v>
      </x:c>
    </x:row>
    <x:row r="6">
      <x:c r="A6" s="14" t="n">
        <x:v>42278</x:v>
      </x:c>
      <x:c r="B6" s="15" t="str">
        <x:v>Oct-2015</x:v>
      </x:c>
      <x:c r="C6" s="16" t="n">
        <x:v>6</x:v>
      </x:c>
      <x:c r="D6" s="17" t="n">
        <x:v>600</x:v>
      </x:c>
      <x:c r="E6" s="18" t="n">
        <x:v>0.11019999999999999</x:v>
      </x:c>
      <x:c r="F6" s="18" t="n">
        <x:v>0.099</x:v>
      </x:c>
      <x:c r="G6" s="18" t="n">
        <x:v>1.1212</x:v>
      </x:c>
      <x:c r="H6" s="18" t="n">
        <x:v>2.0444999999999998</x:v>
      </x:c>
      <x:c r="I6" s="18" t="n">
        <x:v>0.0723</x:v>
      </x:c>
      <x:c r="J6" s="18" t="n">
        <x:v>0.10890000000000001</x:v>
      </x:c>
      <x:c r="K6" s="18" t="n">
        <x:f>G6-H6</x:f>
        <x:v>-0.9232999999999998</x:v>
      </x:c>
    </x:row>
    <x:row r="7">
      <x:c r="A7" s="14" t="n">
        <x:v>42309</x:v>
      </x:c>
      <x:c r="B7" s="15" t="str">
        <x:v>Nov-2015</x:v>
      </x:c>
      <x:c r="C7" s="16" t="n">
        <x:v>19</x:v>
      </x:c>
      <x:c r="D7" s="17" t="n">
        <x:v>1900</x:v>
      </x:c>
      <x:c r="E7" s="18" t="n">
        <x:v>0.34380000000000005</x:v>
      </x:c>
      <x:c r="F7" s="18" t="n">
        <x:v>0.07150000000000001</x:v>
      </x:c>
      <x:c r="G7" s="18" t="n">
        <x:v>6.0824</x:v>
      </x:c>
      <x:c r="H7" s="18" t="n">
        <x:v>2.0068</x:v>
      </x:c>
      <x:c r="I7" s="18" t="n">
        <x:v>0.201</x:v>
      </x:c>
      <x:c r="J7" s="18" t="n">
        <x:v>0.1085</x:v>
      </x:c>
      <x:c r="K7" s="18" t="n">
        <x:f>G7-H7</x:f>
        <x:v>4.0756</x:v>
      </x:c>
    </x:row>
    <x:row r="8">
      <x:c r="A8" s="14" t="n">
        <x:v>42339</x:v>
      </x:c>
      <x:c r="B8" s="15" t="str">
        <x:v>Dec-2015</x:v>
      </x:c>
      <x:c r="C8" s="16" t="n">
        <x:v>5</x:v>
      </x:c>
      <x:c r="D8" s="17" t="n">
        <x:v>500</x:v>
      </x:c>
      <x:c r="E8" s="18" t="n">
        <x:v>0.17679999999999998</x:v>
      </x:c>
      <x:c r="F8" s="18" t="n">
        <x:v>0.029900000000000003</x:v>
      </x:c>
      <x:c r="G8" s="18" t="n">
        <x:v>13.8981</x:v>
      </x:c>
      <x:c r="H8" s="18" t="n">
        <x:v>2.043</x:v>
      </x:c>
      <x:c r="I8" s="18" t="n">
        <x:v>0.29</x:v>
      </x:c>
      <x:c r="J8" s="18" t="n">
        <x:v>0.1106</x:v>
      </x:c>
      <x:c r="K8" s="18" t="n">
        <x:f>G8-H8</x:f>
        <x:v>11.8551</x:v>
      </x:c>
    </x:row>
    <x:row r="9">
      <x:c r="A9" s="14" t="n">
        <x:v>42370</x:v>
      </x:c>
      <x:c r="B9" s="15" t="str">
        <x:v>Jan-2016</x:v>
      </x:c>
      <x:c r="C9" s="16" t="n">
        <x:v>3</x:v>
      </x:c>
      <x:c r="D9" s="17" t="n">
        <x:v>300</x:v>
      </x:c>
      <x:c r="E9" s="18" t="n">
        <x:v>-0.17370000000000002</x:v>
      </x:c>
      <x:c r="F9" s="18" t="n">
        <x:v>0.049800000000000004</x:v>
      </x:c>
      <x:c r="G9" s="18" t="n">
        <x:v>8.6209</x:v>
      </x:c>
      <x:c r="H9" s="18" t="n">
        <x:v>2.1069</x:v>
      </x:c>
      <x:c r="I9" s="18" t="n">
        <x:v>0.2401</x:v>
      </x:c>
      <x:c r="J9" s="18" t="n">
        <x:v>0.11380000000000001</x:v>
      </x:c>
      <x:c r="K9" s="18" t="n">
        <x:f>G9-H9</x:f>
        <x:v>6.514000000000001</x:v>
      </x:c>
    </x:row>
    <x:row r="10">
      <x:c r="A10" s="14" t="n">
        <x:v>42401</x:v>
      </x:c>
      <x:c r="B10" s="15" t="str">
        <x:v>Feb-2016</x:v>
      </x:c>
      <x:c r="C10" s="16" t="n">
        <x:v>15</x:v>
      </x:c>
      <x:c r="D10" s="17" t="n">
        <x:v>1500</x:v>
      </x:c>
      <x:c r="E10" s="18" t="n">
        <x:v>0.23</x:v>
      </x:c>
      <x:c r="F10" s="18" t="n">
        <x:v>0.1536</x:v>
      </x:c>
      <x:c r="G10" s="18" t="n">
        <x:v>15.5324</x:v>
      </x:c>
      <x:c r="H10" s="18" t="n">
        <x:v>2.2037</x:v>
      </x:c>
      <x:c r="I10" s="18" t="n">
        <x:v>0.3084</x:v>
      </x:c>
      <x:c r="J10" s="18" t="n">
        <x:v>0.11800000000000001</x:v>
      </x:c>
      <x:c r="K10" s="18" t="n">
        <x:f>G10-H10</x:f>
        <x:v>13.328700000000001</x:v>
      </x:c>
    </x:row>
    <x:row r="11">
      <x:c r="A11" s="14" t="n">
        <x:v>42430</x:v>
      </x:c>
      <x:c r="B11" s="15" t="str">
        <x:v>Mar-2016</x:v>
      </x:c>
      <x:c r="C11" s="16" t="n">
        <x:v>12</x:v>
      </x:c>
      <x:c r="D11" s="17" t="n">
        <x:v>1200</x:v>
      </x:c>
      <x:c r="E11" s="18" t="n">
        <x:v>0.6204999999999999</x:v>
      </x:c>
      <x:c r="F11" s="18" t="n">
        <x:v>0.2386</x:v>
      </x:c>
      <x:c r="G11" s="18" t="n">
        <x:v>5.2912</x:v>
      </x:c>
      <x:c r="H11" s="18" t="n">
        <x:v>2.3516999999999997</x:v>
      </x:c>
      <x:c r="I11" s="18" t="n">
        <x:v>0.1943</x:v>
      </x:c>
      <x:c r="J11" s="18" t="n">
        <x:v>0.12390000000000001</x:v>
      </x:c>
      <x:c r="K11" s="18" t="n">
        <x:f>G11-H11</x:f>
        <x:v>2.9395000000000002</x:v>
      </x:c>
    </x:row>
    <x:row r="12">
      <x:c r="A12" s="14" t="n">
        <x:v>42644</x:v>
      </x:c>
      <x:c r="B12" s="15" t="str">
        <x:v>Oct-2016</x:v>
      </x:c>
      <x:c r="C12" s="16" t="n">
        <x:v>16</x:v>
      </x:c>
      <x:c r="D12" s="17" t="n">
        <x:v>1600</x:v>
      </x:c>
      <x:c r="E12" s="18" t="n">
        <x:v>0.3392</x:v>
      </x:c>
      <x:c r="F12" s="18" t="n">
        <x:v>0.1283</x:v>
      </x:c>
      <x:c r="G12" s="18" t="n">
        <x:v>2.7781000000000002</x:v>
      </x:c>
      <x:c r="H12" s="18" t="n">
        <x:v>1.7703</x:v>
      </x:c>
      <x:c r="I12" s="18" t="n">
        <x:v>0.1457</x:v>
      </x:c>
      <x:c r="J12" s="18" t="n">
        <x:v>0.1099</x:v>
      </x:c>
      <x:c r="K12" s="18" t="n">
        <x:f>G12-H12</x:f>
        <x:v>1.0078000000000003</x:v>
      </x:c>
    </x:row>
    <x:row r="13">
      <x:c r="A13" s="14" t="n">
        <x:v>42675</x:v>
      </x:c>
      <x:c r="B13" s="15" t="str">
        <x:v>Nov-2016</x:v>
      </x:c>
      <x:c r="C13" s="16" t="n">
        <x:v>3</x:v>
      </x:c>
      <x:c r="D13" s="17" t="n">
        <x:v>300</x:v>
      </x:c>
      <x:c r="E13" s="18" t="n">
        <x:v>0.1675</x:v>
      </x:c>
      <x:c r="F13" s="18" t="n">
        <x:v>0.21030000000000001</x:v>
      </x:c>
      <x:c r="G13" s="18" t="n">
        <x:v>0.5979</x:v>
      </x:c>
      <x:c r="H13" s="18" t="n">
        <x:v>1.8062</x:v>
      </x:c>
      <x:c r="I13" s="18" t="n">
        <x:v>0.0496</x:v>
      </x:c>
      <x:c r="J13" s="18" t="n">
        <x:v>0.1124</x:v>
      </x:c>
      <x:c r="K13" s="18" t="n">
        <x:f>G13-H13</x:f>
        <x:v>-1.2083</x:v>
      </x:c>
    </x:row>
    <x:row r="14">
      <x:c r="A14" s="14" t="n">
        <x:v>42736</x:v>
      </x:c>
      <x:c r="B14" s="15" t="str">
        <x:v>Jan-2017</x:v>
      </x:c>
      <x:c r="C14" s="16" t="n">
        <x:v>4</x:v>
      </x:c>
      <x:c r="D14" s="17" t="n">
        <x:v>400</x:v>
      </x:c>
      <x:c r="E14" s="18" t="n">
        <x:v>0.3804</x:v>
      </x:c>
      <x:c r="F14" s="18" t="n">
        <x:v>0.2766</x:v>
      </x:c>
      <x:c r="G14" s="18" t="n">
        <x:v>4.1766000000000005</x:v>
      </x:c>
      <x:c r="H14" s="18" t="n">
        <x:v>1.9594999999999998</x:v>
      </x:c>
      <x:c r="I14" s="18" t="n">
        <x:v>0.1885</x:v>
      </x:c>
      <x:c r="J14" s="18" t="n">
        <x:v>0.1207</x:v>
      </x:c>
      <x:c r="K14" s="18" t="n">
        <x:f>G14-H14</x:f>
        <x:v>2.2171000000000007</x:v>
      </x:c>
    </x:row>
    <x:row r="15">
      <x:c r="A15" s="14" t="n">
        <x:v>42767</x:v>
      </x:c>
      <x:c r="B15" s="15" t="str">
        <x:v>Feb-2017</x:v>
      </x:c>
      <x:c r="C15" s="16" t="n">
        <x:v>3</x:v>
      </x:c>
      <x:c r="D15" s="17" t="n">
        <x:v>300</x:v>
      </x:c>
      <x:c r="E15" s="18" t="n">
        <x:v>0.14</x:v>
      </x:c>
      <x:c r="F15" s="18" t="n">
        <x:v>0.2639</x:v>
      </x:c>
      <x:c r="G15" s="18" t="n">
        <x:v>-0.1222</x:v>
      </x:c>
      <x:c r="H15" s="18" t="n">
        <x:v>1.7772</x:v>
      </x:c>
      <x:c r="I15" s="18" t="n">
        <x:v>-0.0137</x:v>
      </x:c>
      <x:c r="J15" s="18" t="n">
        <x:v>0.1143</x:v>
      </x:c>
      <x:c r="K15" s="18" t="n">
        <x:f>G15-H15</x:f>
        <x:v>-1.8994</x:v>
      </x:c>
    </x:row>
    <x:row r="16">
      <x:c r="A16" s="14" t="n">
        <x:v>42795</x:v>
      </x:c>
      <x:c r="B16" s="15" t="str">
        <x:v>Mar-2017</x:v>
      </x:c>
      <x:c r="C16" s="16" t="n">
        <x:v>5</x:v>
      </x:c>
      <x:c r="D16" s="17" t="n">
        <x:v>500</x:v>
      </x:c>
      <x:c r="E16" s="18" t="n">
        <x:v>-0.0524</x:v>
      </x:c>
      <x:c r="F16" s="18" t="n">
        <x:v>0.1691</x:v>
      </x:c>
      <x:c r="G16" s="18" t="n">
        <x:v>0.6945</x:v>
      </x:c>
      <x:c r="H16" s="18" t="n">
        <x:v>1.706</x:v>
      </x:c>
      <x:c r="I16" s="18" t="n">
        <x:v>0.057999999999999996</x:v>
      </x:c>
      <x:c r="J16" s="18" t="n">
        <x:v>0.11220000000000001</x:v>
      </x:c>
      <x:c r="K16" s="18" t="n">
        <x:f>G16-H16</x:f>
        <x:v>-1.0114999999999998</x:v>
      </x:c>
    </x:row>
    <x:row r="17">
      <x:c r="A17" s="14" t="n">
        <x:v>42826</x:v>
      </x:c>
      <x:c r="B17" s="15" t="str">
        <x:v>Apr-2017</x:v>
      </x:c>
      <x:c r="C17" s="16" t="n">
        <x:v>5</x:v>
      </x:c>
      <x:c r="D17" s="17" t="n">
        <x:v>500</x:v>
      </x:c>
      <x:c r="E17" s="18" t="n">
        <x:v>0.22440000000000002</x:v>
      </x:c>
      <x:c r="F17" s="18" t="n">
        <x:v>0.1054</x:v>
      </x:c>
      <x:c r="G17" s="18" t="n">
        <x:v>1.8088</x:v>
      </x:c>
      <x:c r="H17" s="18" t="n">
        <x:v>1.6203999999999998</x:v>
      </x:c>
      <x:c r="I17" s="18" t="n">
        <x:v>0.11779999999999999</x:v>
      </x:c>
      <x:c r="J17" s="18" t="n">
        <x:v>0.10949999999999999</x:v>
      </x:c>
      <x:c r="K17" s="18" t="n">
        <x:f>G17-H17</x:f>
        <x:v>0.18840000000000012</x:v>
      </x:c>
    </x:row>
    <x:row r="18">
      <x:c r="A18" s="14" t="n">
        <x:v>42856</x:v>
      </x:c>
      <x:c r="B18" s="15" t="str">
        <x:v>May-2017</x:v>
      </x:c>
      <x:c r="C18" s="16" t="n">
        <x:v>11</x:v>
      </x:c>
      <x:c r="D18" s="17" t="n">
        <x:v>1100</x:v>
      </x:c>
      <x:c r="E18" s="18" t="n">
        <x:v>0.08199999999999999</x:v>
      </x:c>
      <x:c r="F18" s="18" t="n">
        <x:v>0.1508</x:v>
      </x:c>
      <x:c r="G18" s="18" t="n">
        <x:v>0.7786</x:v>
      </x:c>
      <x:c r="H18" s="18" t="n">
        <x:v>1.599</x:v>
      </x:c>
      <x:c r="I18" s="18" t="n">
        <x:v>0.0647</x:v>
      </x:c>
      <x:c r="J18" s="18" t="n">
        <x:v>0.10949999999999999</x:v>
      </x:c>
      <x:c r="K18" s="18" t="n">
        <x:f>G18-H18</x:f>
        <x:v>-0.8204</x:v>
      </x:c>
    </x:row>
    <x:row r="19">
      <x:c r="A19" s="14" t="n">
        <x:v>42887</x:v>
      </x:c>
      <x:c r="B19" s="15" t="str">
        <x:v>Jun-2017</x:v>
      </x:c>
      <x:c r="C19" s="16" t="n">
        <x:v>4</x:v>
      </x:c>
      <x:c r="D19" s="17" t="n">
        <x:v>400</x:v>
      </x:c>
      <x:c r="E19" s="18" t="n">
        <x:v>-0.31920000000000004</x:v>
      </x:c>
      <x:c r="F19" s="18" t="n">
        <x:v>0.11230000000000001</x:v>
      </x:c>
      <x:c r="G19" s="18" t="n">
        <x:v>3.1275999999999997</x:v>
      </x:c>
      <x:c r="H19" s="18" t="n">
        <x:v>1.5172999999999999</x:v>
      </x:c>
      <x:c r="I19" s="18" t="n">
        <x:v>0.1685</x:v>
      </x:c>
      <x:c r="J19" s="18" t="n">
        <x:v>0.1067</x:v>
      </x:c>
      <x:c r="K19" s="18" t="n">
        <x:f>G19-H19</x:f>
        <x:v>1.6102999999999998</x:v>
      </x:c>
    </x:row>
    <x:row r="20">
      <x:c r="A20" s="14" t="n">
        <x:v>42917</x:v>
      </x:c>
      <x:c r="B20" s="15" t="str">
        <x:v>Jul-2017</x:v>
      </x:c>
      <x:c r="C20" s="16" t="n">
        <x:v>8</x:v>
      </x:c>
      <x:c r="D20" s="17" t="n">
        <x:v>800</x:v>
      </x:c>
      <x:c r="E20" s="18" t="n">
        <x:v>0.13470000000000001</x:v>
      </x:c>
      <x:c r="F20" s="18" t="n">
        <x:v>0.1084</x:v>
      </x:c>
      <x:c r="G20" s="18" t="n">
        <x:v>4.2562</x:v>
      </x:c>
      <x:c r="H20" s="18" t="n">
        <x:v>1.5175999999999998</x:v>
      </x:c>
      <x:c r="I20" s="18" t="n">
        <x:v>0.20190000000000002</x:v>
      </x:c>
      <x:c r="J20" s="18" t="n">
        <x:v>0.10769999999999999</x:v>
      </x:c>
      <x:c r="K20" s="18" t="n">
        <x:f>G20-H20</x:f>
        <x:v>2.7386</x:v>
      </x:c>
    </x:row>
    <x:row r="21">
      <x:c r="A21" s="14" t="n">
        <x:v>42948</x:v>
      </x:c>
      <x:c r="B21" s="15" t="str">
        <x:v>Aug-2017</x:v>
      </x:c>
      <x:c r="C21" s="16" t="n">
        <x:v>19</x:v>
      </x:c>
      <x:c r="D21" s="17" t="n">
        <x:v>1900</x:v>
      </x:c>
      <x:c r="E21" s="18" t="n">
        <x:v>0.113</x:v>
      </x:c>
      <x:c r="F21" s="18" t="n">
        <x:v>0.12179999999999999</x:v>
      </x:c>
      <x:c r="G21" s="18" t="n">
        <x:v>2.5699</x:v>
      </x:c>
      <x:c r="H21" s="18" t="n">
        <x:v>1.3933000000000002</x:v>
      </x:c>
      <x:c r="I21" s="18" t="n">
        <x:v>0.153</x:v>
      </x:c>
      <x:c r="J21" s="18" t="n">
        <x:v>0.1025</x:v>
      </x:c>
      <x:c r="K21" s="18" t="n">
        <x:f>G21-H21</x:f>
        <x:v>1.1765999999999999</x:v>
      </x:c>
    </x:row>
    <x:row r="22">
      <x:c r="A22" s="14" t="n">
        <x:v>42979</x:v>
      </x:c>
      <x:c r="B22" s="15" t="str">
        <x:v>Sep-2017</x:v>
      </x:c>
      <x:c r="C22" s="16" t="n">
        <x:v>8</x:v>
      </x:c>
      <x:c r="D22" s="17" t="n">
        <x:v>800</x:v>
      </x:c>
      <x:c r="E22" s="18" t="n">
        <x:v>-0.0969</x:v>
      </x:c>
      <x:c r="F22" s="18" t="n">
        <x:v>0.1612</x:v>
      </x:c>
      <x:c r="G22" s="18" t="n">
        <x:v>3.3891000000000004</x:v>
      </x:c>
      <x:c r="H22" s="18" t="n">
        <x:v>1.4269</x:v>
      </x:c>
      <x:c r="I22" s="18" t="n">
        <x:v>0.1818</x:v>
      </x:c>
      <x:c r="J22" s="18" t="n">
        <x:v>0.10529999999999999</x:v>
      </x:c>
      <x:c r="K22" s="18" t="n">
        <x:f>G22-H22</x:f>
        <x:v>1.9622000000000004</x:v>
      </x:c>
    </x:row>
    <x:row r="23">
      <x:c r="A23" s="14" t="n">
        <x:v>43009</x:v>
      </x:c>
      <x:c r="B23" s="15" t="str">
        <x:v>Oct-2017</x:v>
      </x:c>
      <x:c r="C23" s="16" t="n">
        <x:v>17</x:v>
      </x:c>
      <x:c r="D23" s="17" t="n">
        <x:v>1700</x:v>
      </x:c>
      <x:c r="E23" s="18" t="n">
        <x:v>-0.1344</x:v>
      </x:c>
      <x:c r="F23" s="18" t="n">
        <x:v>0.1165</x:v>
      </x:c>
      <x:c r="G23" s="18" t="n">
        <x:v>2.2044</x:v>
      </x:c>
      <x:c r="H23" s="18" t="n">
        <x:v>1.4552</x:v>
      </x:c>
      <x:c r="I23" s="18" t="n">
        <x:v>0.142</x:v>
      </x:c>
      <x:c r="J23" s="18" t="n">
        <x:v>0.10779999999999999</x:v>
      </x:c>
      <x:c r="K23" s="18" t="n">
        <x:f>G23-H23</x:f>
        <x:v>0.7492000000000001</x:v>
      </x:c>
    </x:row>
    <x:row r="24">
      <x:c r="A24" s="14" t="n">
        <x:v>43040</x:v>
      </x:c>
      <x:c r="B24" s="15" t="str">
        <x:v>Nov-2017</x:v>
      </x:c>
      <x:c r="C24" s="16" t="n">
        <x:v>9</x:v>
      </x:c>
      <x:c r="D24" s="17" t="n">
        <x:v>900</x:v>
      </x:c>
      <x:c r="E24" s="18" t="n">
        <x:v>-0.1185</x:v>
      </x:c>
      <x:c r="F24" s="18" t="n">
        <x:v>-0.0058</x:v>
      </x:c>
      <x:c r="G24" s="18" t="n">
        <x:v>6.5696</x:v>
      </x:c>
      <x:c r="H24" s="18" t="n">
        <x:v>1.3186000000000002</x:v>
      </x:c>
      <x:c r="I24" s="18" t="n">
        <x:v>0.26239999999999997</x:v>
      </x:c>
      <x:c r="J24" s="18" t="n">
        <x:v>0.1016</x:v>
      </x:c>
      <x:c r="K24" s="18" t="n">
        <x:f>G24-H24</x:f>
        <x:v>5.251</x:v>
      </x:c>
    </x:row>
    <x:row r="25">
      <x:c r="A25" s="14" t="n">
        <x:v>43070</x:v>
      </x:c>
      <x:c r="B25" s="15" t="str">
        <x:v>Dec-2017</x:v>
      </x:c>
      <x:c r="C25" s="16" t="n">
        <x:v>5</x:v>
      </x:c>
      <x:c r="D25" s="17" t="n">
        <x:v>500</x:v>
      </x:c>
      <x:c r="E25" s="18" t="n">
        <x:v>-0.18989999999999999</x:v>
      </x:c>
      <x:c r="F25" s="18" t="n">
        <x:v>0.0753</x:v>
      </x:c>
      <x:c r="G25" s="18" t="n">
        <x:v>2.6283</x:v>
      </x:c>
      <x:c r="H25" s="18" t="n">
        <x:v>1.3916</x:v>
      </x:c>
      <x:c r="I25" s="18" t="n">
        <x:v>0.1616</x:v>
      </x:c>
      <x:c r="J25" s="18" t="n">
        <x:v>0.1066</x:v>
      </x:c>
      <x:c r="K25" s="18" t="n">
        <x:f>G25-H25</x:f>
        <x:v>1.2367</x:v>
      </x:c>
    </x:row>
    <x:row r="26">
      <x:c r="A26" s="14" t="n">
        <x:v>43101</x:v>
      </x:c>
      <x:c r="B26" s="15" t="str">
        <x:v>Jan-2018</x:v>
      </x:c>
      <x:c r="C26" s="16" t="n">
        <x:v>9</x:v>
      </x:c>
      <x:c r="D26" s="17" t="n">
        <x:v>900</x:v>
      </x:c>
      <x:c r="E26" s="18" t="n">
        <x:v>-0.2349</x:v>
      </x:c>
      <x:c r="F26" s="18" t="n">
        <x:v>0.0335</x:v>
      </x:c>
      <x:c r="G26" s="18" t="n">
        <x:v>9.3512</x:v>
      </x:c>
      <x:c r="H26" s="18" t="n">
        <x:v>1.3182</x:v>
      </x:c>
      <x:c r="I26" s="18" t="n">
        <x:v>0.3156</x:v>
      </x:c>
      <x:c r="J26" s="18" t="n">
        <x:v>0.10369999999999999</x:v>
      </x:c>
      <x:c r="K26" s="18" t="n">
        <x:f>G26-H26</x:f>
        <x:v>8.033000000000001</x:v>
      </x:c>
    </x:row>
    <x:row r="27">
      <x:c r="A27" s="14" t="n">
        <x:v>43132</x:v>
      </x:c>
      <x:c r="B27" s="15" t="str">
        <x:v>Feb-2018</x:v>
      </x:c>
      <x:c r="C27" s="16" t="n">
        <x:v>42</x:v>
      </x:c>
      <x:c r="D27" s="17" t="n">
        <x:v>4200</x:v>
      </x:c>
      <x:c r="E27" s="18" t="n">
        <x:v>-0.2391</x:v>
      </x:c>
      <x:c r="F27" s="18" t="n">
        <x:v>-0.011200000000000002</x:v>
      </x:c>
      <x:c r="G27" s="18" t="n">
        <x:v>2.2958000000000003</x:v>
      </x:c>
      <x:c r="H27" s="18" t="n">
        <x:v>1.1973</x:v>
      </x:c>
      <x:c r="I27" s="18" t="n">
        <x:v>0.1519</x:v>
      </x:c>
      <x:c r="J27" s="18" t="n">
        <x:v>0.0978</x:v>
      </x:c>
      <x:c r="K27" s="18" t="n">
        <x:f>G27-H27</x:f>
        <x:v>1.0985000000000003</x:v>
      </x:c>
    </x:row>
    <x:row r="28">
      <x:c r="A28" s="14" t="n">
        <x:v>43191</x:v>
      </x:c>
      <x:c r="B28" s="15" t="str">
        <x:v>Apr-2018</x:v>
      </x:c>
      <x:c r="C28" s="16" t="n">
        <x:v>15</x:v>
      </x:c>
      <x:c r="D28" s="17" t="n">
        <x:v>1500</x:v>
      </x:c>
      <x:c r="E28" s="18" t="n">
        <x:v>-0.0974</x:v>
      </x:c>
      <x:c r="F28" s="18" t="n">
        <x:v>0.1427</x:v>
      </x:c>
      <x:c r="G28" s="18" t="n">
        <x:v>2.9716000000000005</x:v>
      </x:c>
      <x:c r="H28" s="18" t="n">
        <x:v>1.3705</x:v>
      </x:c>
      <x:c r="I28" s="18" t="n">
        <x:v>0.1814</x:v>
      </x:c>
      <x:c r="J28" s="18" t="n">
        <x:v>0.11</x:v>
      </x:c>
      <x:c r="K28" s="18" t="n">
        <x:f>G28-H28</x:f>
        <x:v>1.6011000000000004</x:v>
      </x:c>
    </x:row>
    <x:row r="29">
      <x:c r="A29" s="14" t="n">
        <x:v>43221</x:v>
      </x:c>
      <x:c r="B29" s="15" t="str">
        <x:v>May-2018</x:v>
      </x:c>
      <x:c r="C29" s="16" t="n">
        <x:v>3</x:v>
      </x:c>
      <x:c r="D29" s="17" t="n">
        <x:v>300</x:v>
      </x:c>
      <x:c r="E29" s="18" t="n">
        <x:v>-0.1725</x:v>
      </x:c>
      <x:c r="F29" s="18" t="n">
        <x:v>0.09390000000000001</x:v>
      </x:c>
      <x:c r="G29" s="18" t="n">
        <x:v>3.0701</x:v>
      </x:c>
      <x:c r="H29" s="18" t="n">
        <x:v>1.2585</x:v>
      </x:c>
      <x:c r="I29" s="18" t="n">
        <x:v>0.1869</x:v>
      </x:c>
      <x:c r="J29" s="18" t="n">
        <x:v>0.10460000000000001</x:v>
      </x:c>
      <x:c r="K29" s="18" t="n">
        <x:f>G29-H29</x:f>
        <x:v>1.8116</x:v>
      </x:c>
    </x:row>
    <x:row r="30">
      <x:c r="A30" s="14" t="n">
        <x:v>43252</x:v>
      </x:c>
      <x:c r="B30" s="15" t="str">
        <x:v>Jun-2018</x:v>
      </x:c>
      <x:c r="C30" s="16" t="n">
        <x:v>5</x:v>
      </x:c>
      <x:c r="D30" s="17" t="n">
        <x:v>500</x:v>
      </x:c>
      <x:c r="E30" s="18" t="n">
        <x:v>0.009000000000000001</x:v>
      </x:c>
      <x:c r="F30" s="18" t="n">
        <x:v>0.13019999999999998</x:v>
      </x:c>
      <x:c r="G30" s="18" t="n">
        <x:v>1.4649</x:v>
      </x:c>
      <x:c r="H30" s="18" t="n">
        <x:v>1.2631000000000001</x:v>
      </x:c>
      <x:c r="I30" s="18" t="n">
        <x:v>0.1177</x:v>
      </x:c>
      <x:c r="J30" s="18" t="n">
        <x:v>0.106</x:v>
      </x:c>
      <x:c r="K30" s="18" t="n">
        <x:f>G30-H30</x:f>
        <x:v>0.20179999999999998</x:v>
      </x:c>
    </x:row>
    <x:row r="31">
      <x:c r="A31" s="14" t="n">
        <x:v>43282</x:v>
      </x:c>
      <x:c r="B31" s="15" t="str">
        <x:v>Jul-2018</x:v>
      </x:c>
      <x:c r="C31" s="16" t="n">
        <x:v>4</x:v>
      </x:c>
      <x:c r="D31" s="17" t="n">
        <x:v>400</x:v>
      </x:c>
      <x:c r="E31" s="18" t="n">
        <x:v>-0.0025</x:v>
      </x:c>
      <x:c r="F31" s="18" t="n">
        <x:v>0.1134</x:v>
      </x:c>
      <x:c r="G31" s="18" t="n">
        <x:v>1.4926</x:v>
      </x:c>
      <x:c r="H31" s="18" t="n">
        <x:v>1.2714</x:v>
      </x:c>
      <x:c r="I31" s="18" t="n">
        <x:v>0.12050000000000001</x:v>
      </x:c>
      <x:c r="J31" s="18" t="n">
        <x:v>0.1076</x:v>
      </x:c>
      <x:c r="K31" s="18" t="n">
        <x:f>G31-H31</x:f>
        <x:v>0.22119999999999984</x:v>
      </x:c>
    </x:row>
    <x:row r="32">
      <x:c r="A32" s="14" t="n">
        <x:v>43586</x:v>
      </x:c>
      <x:c r="B32" s="15" t="str">
        <x:v>May-2019</x:v>
      </x:c>
      <x:c r="C32" s="16" t="n">
        <x:v>8</x:v>
      </x:c>
      <x:c r="D32" s="17" t="n">
        <x:v>800</x:v>
      </x:c>
      <x:c r="E32" s="18" t="n">
        <x:v>-0.2458</x:v>
      </x:c>
      <x:c r="F32" s="18" t="n">
        <x:v>-0.20739999999999997</x:v>
      </x:c>
      <x:c r="G32" s="18" t="n">
        <x:v>1.8074000000000001</x:v>
      </x:c>
      <x:c r="H32" s="18" t="n">
        <x:v>1.0646</x:v>
      </x:c>
      <x:c r="I32" s="18" t="n">
        <x:v>0.1543</x:v>
      </x:c>
      <x:c r="J32" s="18" t="n">
        <x:v>0.106</x:v>
      </x:c>
      <x:c r="K32" s="18" t="n">
        <x:f>G32-H32</x:f>
        <x:v>0.7428000000000001</x:v>
      </x:c>
    </x:row>
    <x:row r="33">
      <x:c r="A33" s="14" t="n">
        <x:v>43831</x:v>
      </x:c>
      <x:c r="B33" s="15" t="str">
        <x:v>Jan-2020</x:v>
      </x:c>
      <x:c r="C33" s="16" t="n">
        <x:v>3</x:v>
      </x:c>
      <x:c r="D33" s="17" t="n">
        <x:v>300</x:v>
      </x:c>
      <x:c r="E33" s="18" t="n">
        <x:v>0.2506</x:v>
      </x:c>
      <x:c r="F33" s="18" t="n">
        <x:v>0.1507</x:v>
      </x:c>
      <x:c r="G33" s="18" t="n">
        <x:v>8.9549</x:v>
      </x:c>
      <x:c r="H33" s="18" t="n">
        <x:v>0.987</x:v>
      </x:c>
      <x:c r="I33" s="18" t="n">
        <x:v>0.4224</x:v>
      </x:c>
      <x:c r="J33" s="18" t="n">
        <x:v>0.111</x:v>
      </x:c>
      <x:c r="K33" s="18" t="n">
        <x:f>G33-H33</x:f>
        <x:v>7.9679</x:v>
      </x:c>
    </x:row>
    <x:row r="34">
      <x:c r="A34" s="14" t="n">
        <x:v>43862</x:v>
      </x:c>
      <x:c r="B34" s="15" t="str">
        <x:v>Feb-2020</x:v>
      </x:c>
      <x:c r="C34" s="16" t="n">
        <x:v>3</x:v>
      </x:c>
      <x:c r="D34" s="17" t="n">
        <x:v>300</x:v>
      </x:c>
      <x:c r="E34" s="18" t="n">
        <x:v>0.20920000000000002</x:v>
      </x:c>
      <x:c r="F34" s="18" t="n">
        <x:v>0.2198</x:v>
      </x:c>
      <x:c r="G34" s="18" t="n">
        <x:v>2.5298</x:v>
      </x:c>
      <x:c r="H34" s="18" t="n">
        <x:v>1.0676</x:v>
      </x:c>
      <x:c r="I34" s="18" t="n">
        <x:v>0.2165</x:v>
      </x:c>
      <x:c r="J34" s="18" t="n">
        <x:v>0.1195</x:v>
      </x:c>
      <x:c r="K34" s="18" t="n">
        <x:f>G34-H34</x:f>
        <x:v>1.4621999999999997</x:v>
      </x:c>
    </x:row>
    <x:row r="35">
      <x:c r="A35" s="14" t="n">
        <x:v>43891</x:v>
      </x:c>
      <x:c r="B35" s="15" t="str">
        <x:v>Mar-2020</x:v>
      </x:c>
      <x:c r="C35" s="16" t="n">
        <x:v>9</x:v>
      </x:c>
      <x:c r="D35" s="17" t="n">
        <x:v>900</x:v>
      </x:c>
      <x:c r="E35" s="18" t="n">
        <x:v>0.4744</x:v>
      </x:c>
      <x:c r="F35" s="18" t="n">
        <x:v>0.326</x:v>
      </x:c>
      <x:c r="G35" s="18" t="n">
        <x:v>2.517</x:v>
      </x:c>
      <x:c r="H35" s="18" t="n">
        <x:v>1.1743999999999999</x:v>
      </x:c>
      <x:c r="I35" s="18" t="n">
        <x:v>0.2187</x:v>
      </x:c>
      <x:c r="J35" s="18" t="n">
        <x:v>0.13</x:v>
      </x:c>
      <x:c r="K35" s="18" t="n">
        <x:f>G35-H35</x:f>
        <x:v>1.3426</x:v>
      </x:c>
    </x:row>
    <x:row r="36">
      <x:c r="A36" s="14" t="n">
        <x:v>43922</x:v>
      </x:c>
      <x:c r="B36" s="15" t="str">
        <x:v>Apr-2020</x:v>
      </x:c>
      <x:c r="C36" s="16" t="n">
        <x:v>4</x:v>
      </x:c>
      <x:c r="D36" s="17" t="n">
        <x:v>400</x:v>
      </x:c>
      <x:c r="E36" s="18" t="n">
        <x:v>0.4202</x:v>
      </x:c>
      <x:c r="F36" s="18" t="n">
        <x:v>0.8012999999999999</x:v>
      </x:c>
      <x:c r="G36" s="18" t="n">
        <x:v>5.7408</x:v>
      </x:c>
      <x:c r="H36" s="18" t="n">
        <x:v>1.9328</x:v>
      </x:c>
      <x:c r="I36" s="18" t="n">
        <x:v>0.3556</x:v>
      </x:c>
      <x:c r="J36" s="18" t="n">
        <x:v>0.18710000000000002</x:v>
      </x:c>
      <x:c r="K36" s="18" t="n">
        <x:f>G36-H36</x:f>
        <x:v>3.808</x:v>
      </x:c>
    </x:row>
    <x:row r="37">
      <x:c r="A37" s="14" t="n">
        <x:v>44075</x:v>
      </x:c>
      <x:c r="B37" s="15" t="str">
        <x:v>Sep-2020</x:v>
      </x:c>
      <x:c r="C37" s="16" t="n">
        <x:v>8</x:v>
      </x:c>
      <x:c r="D37" s="17" t="n">
        <x:v>800</x:v>
      </x:c>
      <x:c r="E37" s="18" t="n">
        <x:v>1.1882</x:v>
      </x:c>
      <x:c r="F37" s="18" t="n">
        <x:v>0.48869999999999997</x:v>
      </x:c>
      <x:c r="G37" s="18" t="n">
        <x:v>2.3064</x:v>
      </x:c>
      <x:c r="H37" s="18" t="n">
        <x:v>1.1104</x:v>
      </x:c>
      <x:c r="I37" s="18" t="n">
        <x:v>0.2267</x:v>
      </x:c>
      <x:c r="J37" s="18" t="n">
        <x:v>0.1361</x:v>
      </x:c>
      <x:c r="K37" s="18" t="n">
        <x:f>G37-H37</x:f>
        <x:v>1.196</x:v>
      </x:c>
    </x:row>
    <x:row r="38">
      <x:c r="A38" s="14" t="n">
        <x:v>44136</x:v>
      </x:c>
      <x:c r="B38" s="15" t="str">
        <x:v>Nov-2020</x:v>
      </x:c>
      <x:c r="C38" s="16" t="n">
        <x:v>40</x:v>
      </x:c>
      <x:c r="D38" s="17" t="n">
        <x:v>4000</x:v>
      </x:c>
      <x:c r="E38" s="18" t="n">
        <x:v>0.6792</x:v>
      </x:c>
      <x:c r="F38" s="18" t="n">
        <x:v>0.5365</x:v>
      </x:c>
      <x:c r="G38" s="18" t="n">
        <x:v>1.8659999999999999</x:v>
      </x:c>
      <x:c r="H38" s="18" t="n">
        <x:v>1.0744</x:v>
      </x:c>
      <x:c r="I38" s="18" t="n">
        <x:v>0.2034</x:v>
      </x:c>
      <x:c r="J38" s="18" t="n">
        <x:v>0.1369</x:v>
      </x:c>
      <x:c r="K38" s="18" t="n">
        <x:f>G38-H38</x:f>
        <x:v>0.7915999999999999</x:v>
      </x:c>
    </x:row>
    <x:row r="39">
      <x:c r="A39" s="14" t="n">
        <x:v>44166</x:v>
      </x:c>
      <x:c r="B39" s="15" t="str">
        <x:v>Dec-2020</x:v>
      </x:c>
      <x:c r="C39" s="16" t="n">
        <x:v>8</x:v>
      </x:c>
      <x:c r="D39" s="17" t="n">
        <x:v>800</x:v>
      </x:c>
      <x:c r="E39" s="18" t="n">
        <x:v>0.6648999999999999</x:v>
      </x:c>
      <x:c r="F39" s="18" t="n">
        <x:v>0.3095</x:v>
      </x:c>
      <x:c r="G39" s="18" t="n">
        <x:v>7.0534</x:v>
      </x:c>
      <x:c r="H39" s="18" t="n">
        <x:v>0.8466</x:v>
      </x:c>
      <x:c r="I39" s="18" t="n">
        <x:v>0.451</x:v>
      </x:c>
      <x:c r="J39" s="18" t="n">
        <x:v>0.1157</x:v>
      </x:c>
      <x:c r="K39" s="18" t="n">
        <x:f>G39-H39</x:f>
        <x:v>6.206799999999999</x:v>
      </x:c>
    </x:row>
    <x:row r="40">
      <x:c r="A40" s="14" t="n">
        <x:v>44197</x:v>
      </x:c>
      <x:c r="B40" s="15" t="str">
        <x:v>Jan-2021</x:v>
      </x:c>
      <x:c r="C40" s="16" t="n">
        <x:v>10</x:v>
      </x:c>
      <x:c r="D40" s="17" t="n">
        <x:v>1000</x:v>
      </x:c>
      <x:c r="E40" s="18" t="n">
        <x:v>0.5247999999999999</x:v>
      </x:c>
      <x:c r="F40" s="18" t="n">
        <x:v>0.25730000000000003</x:v>
      </x:c>
      <x:c r="G40" s="18" t="n">
        <x:v>2.8019</x:v>
      </x:c>
      <x:c r="H40" s="18" t="n">
        <x:v>0.7268000000000001</x:v>
      </x:c>
      <x:c r="I40" s="18" t="n">
        <x:v>0.2737</x:v>
      </x:c>
      <x:c r="J40" s="18" t="n">
        <x:v>0.10400000000000001</x:v>
      </x:c>
      <x:c r="K40" s="18" t="n">
        <x:f>G40-H40</x:f>
        <x:v>2.0751</x:v>
      </x:c>
    </x:row>
    <x:row r="41">
      <x:c r="A41" s="14" t="n">
        <x:v>44228</x:v>
      </x:c>
      <x:c r="B41" s="15" t="str">
        <x:v>Feb-2021</x:v>
      </x:c>
      <x:c r="C41" s="16" t="n">
        <x:v>43</x:v>
      </x:c>
      <x:c r="D41" s="17" t="n">
        <x:v>4300</x:v>
      </x:c>
      <x:c r="E41" s="18" t="n">
        <x:v>0.7486</x:v>
      </x:c>
      <x:c r="F41" s="18" t="n">
        <x:v>0.23079999999999998</x:v>
      </x:c>
      <x:c r="G41" s="18" t="n">
        <x:v>2.7063</x:v>
      </x:c>
      <x:c r="H41" s="18" t="n">
        <x:v>0.695</x:v>
      </x:c>
      <x:c r="I41" s="18" t="n">
        <x:v>0.2726</x:v>
      </x:c>
      <x:c r="J41" s="18" t="n">
        <x:v>0.102</x:v>
      </x:c>
      <x:c r="K41" s="18" t="n">
        <x:f>G41-H41</x:f>
        <x:v>2.0113000000000003</x:v>
      </x:c>
    </x:row>
    <x:row r="42">
      <x:c r="A42" s="14" t="n">
        <x:v>44256</x:v>
      </x:c>
      <x:c r="B42" s="15" t="str">
        <x:v>Mar-2021</x:v>
      </x:c>
      <x:c r="C42" s="16" t="n">
        <x:v>23</x:v>
      </x:c>
      <x:c r="D42" s="17" t="n">
        <x:v>2300</x:v>
      </x:c>
      <x:c r="E42" s="18" t="n">
        <x:v>0.5239</x:v>
      </x:c>
      <x:c r="F42" s="18" t="n">
        <x:v>0.1249</x:v>
      </x:c>
      <x:c r="G42" s="18" t="n">
        <x:v>3.0613</x:v>
      </x:c>
      <x:c r="H42" s="18" t="n">
        <x:v>0.6399</x:v>
      </x:c>
      <x:c r="I42" s="18" t="n">
        <x:v>0.299</x:v>
      </x:c>
      <x:c r="J42" s="18" t="n">
        <x:v>0.0967</x:v>
      </x:c>
      <x:c r="K42" s="18" t="n">
        <x:f>G42-H42</x:f>
        <x:v>2.4214</x:v>
      </x:c>
    </x:row>
    <x:row r="43">
      <x:c r="A43" s="14" t="n">
        <x:v>44287</x:v>
      </x:c>
      <x:c r="B43" s="15" t="str">
        <x:v>Apr-2021</x:v>
      </x:c>
      <x:c r="C43" s="16" t="n">
        <x:v>6</x:v>
      </x:c>
      <x:c r="D43" s="17" t="n">
        <x:v>600</x:v>
      </x:c>
      <x:c r="E43" s="18" t="n">
        <x:v>1.1504</x:v>
      </x:c>
      <x:c r="F43" s="18" t="n">
        <x:v>0.1885</x:v>
      </x:c>
      <x:c r="G43" s="18" t="n">
        <x:v>0.5428000000000001</x:v>
      </x:c>
      <x:c r="H43" s="18" t="n">
        <x:v>0.6282</x:v>
      </x:c>
      <x:c r="I43" s="18" t="n">
        <x:v>0.0857</x:v>
      </x:c>
      <x:c r="J43" s="18" t="n">
        <x:v>0.0969</x:v>
      </x:c>
      <x:c r="K43" s="18" t="n">
        <x:f>G43-H43</x:f>
        <x:v>-0.08539999999999992</x:v>
      </x:c>
    </x:row>
    <x:row r="44">
      <x:c r="A44" s="14" t="n">
        <x:v>44317</x:v>
      </x:c>
      <x:c r="B44" s="15" t="str">
        <x:v>May-2021</x:v>
      </x:c>
      <x:c r="C44" s="16" t="n">
        <x:v>5</x:v>
      </x:c>
      <x:c r="D44" s="17" t="n">
        <x:v>500</x:v>
      </x:c>
      <x:c r="E44" s="18" t="n">
        <x:v>0.3074</x:v>
      </x:c>
      <x:c r="F44" s="18" t="n">
        <x:v>0.1664</x:v>
      </x:c>
      <x:c r="G44" s="18" t="n">
        <x:v>1.8154</x:v>
      </x:c>
      <x:c r="H44" s="18" t="n">
        <x:v>0.6541</x:v>
      </x:c>
      <x:c r="I44" s="18" t="n">
        <x:v>0.2207</x:v>
      </x:c>
      <x:c r="J44" s="18" t="n">
        <x:v>0.1018</x:v>
      </x:c>
      <x:c r="K44" s="18" t="n">
        <x:f>G44-H44</x:f>
        <x:v>1.1612999999999998</x:v>
      </x:c>
    </x:row>
    <x:row r="45">
      <x:c r="A45" s="14" t="n">
        <x:v>44348</x:v>
      </x:c>
      <x:c r="B45" s="15" t="str">
        <x:v>Jun-2021</x:v>
      </x:c>
      <x:c r="C45" s="16" t="n">
        <x:v>5</x:v>
      </x:c>
      <x:c r="D45" s="17" t="n">
        <x:v>500</x:v>
      </x:c>
      <x:c r="E45" s="18" t="n">
        <x:v>0.9331999999999999</x:v>
      </x:c>
      <x:c r="F45" s="18" t="n">
        <x:v>0.060899999999999996</x:v>
      </x:c>
      <x:c r="G45" s="18" t="n">
        <x:v>4.02</x:v>
      </x:c>
      <x:c r="H45" s="18" t="n">
        <x:v>0.5542</x:v>
      </x:c>
      <x:c r="I45" s="18" t="n">
        <x:v>0.3716</x:v>
      </x:c>
      <x:c r="J45" s="18" t="n">
        <x:v>0.0902</x:v>
      </x:c>
      <x:c r="K45" s="18" t="n">
        <x:f>G45-H45</x:f>
        <x:v>3.4657999999999998</x:v>
      </x:c>
    </x:row>
    <x:row r="46">
      <x:c r="A46" s="14" t="n">
        <x:v>44378</x:v>
      </x:c>
      <x:c r="B46" s="15" t="str">
        <x:v>Jul-2021</x:v>
      </x:c>
      <x:c r="C46" s="16" t="n">
        <x:v>9</x:v>
      </x:c>
      <x:c r="D46" s="17" t="n">
        <x:v>900</x:v>
      </x:c>
      <x:c r="E46" s="18" t="n">
        <x:v>-0.0818</x:v>
      </x:c>
      <x:c r="F46" s="18" t="n">
        <x:v>0.0046</x:v>
      </x:c>
      <x:c r="G46" s="18" t="n">
        <x:v>1.7299</x:v>
      </x:c>
      <x:c r="H46" s="18" t="n">
        <x:v>0.5438000000000001</x:v>
      </x:c>
      <x:c r="I46" s="18" t="n">
        <x:v>0.2213</x:v>
      </x:c>
      <x:c r="J46" s="18" t="n">
        <x:v>0.09029999999999999</x:v>
      </x:c>
      <x:c r="K46" s="18" t="n">
        <x:f>G46-H46</x:f>
        <x:v>1.1861</x:v>
      </x:c>
    </x:row>
    <x:row r="47">
      <x:c r="A47" s="14" t="n">
        <x:v>44409</x:v>
      </x:c>
      <x:c r="B47" s="15" t="str">
        <x:v>Aug-2021</x:v>
      </x:c>
      <x:c r="C47" s="16" t="n">
        <x:v>27</x:v>
      </x:c>
      <x:c r="D47" s="17" t="n">
        <x:v>2700</x:v>
      </x:c>
      <x:c r="E47" s="18" t="n">
        <x:v>0.0286</x:v>
      </x:c>
      <x:c r="F47" s="18" t="n">
        <x:v>0.0916</x:v>
      </x:c>
      <x:c r="G47" s="18" t="n">
        <x:v>1.1495</x:v>
      </x:c>
      <x:c r="H47" s="18" t="n">
        <x:v>0.5239</x:v>
      </x:c>
      <x:c r="I47" s="18" t="n">
        <x:v>0.16760000000000003</x:v>
      </x:c>
      <x:c r="J47" s="18" t="n">
        <x:v>0.08900000000000001</x:v>
      </x:c>
      <x:c r="K47" s="18" t="n">
        <x:f>G47-H47</x:f>
        <x:v>0.6255999999999999</x:v>
      </x:c>
    </x:row>
    <x:row r="48">
      <x:c r="A48" s="14" t="n">
        <x:v>44440</x:v>
      </x:c>
      <x:c r="B48" s="15" t="str">
        <x:v>Sep-2021</x:v>
      </x:c>
      <x:c r="C48" s="16" t="n">
        <x:v>14</x:v>
      </x:c>
      <x:c r="D48" s="17" t="n">
        <x:v>1400</x:v>
      </x:c>
      <x:c r="E48" s="18" t="n">
        <x:v>0.4982</x:v>
      </x:c>
      <x:c r="F48" s="18" t="n">
        <x:v>0.0273</x:v>
      </x:c>
      <x:c r="G48" s="18" t="n">
        <x:v>2.5334</x:v>
      </x:c>
      <x:c r="H48" s="18" t="n">
        <x:v>0.41759999999999997</x:v>
      </x:c>
      <x:c r="I48" s="18" t="n">
        <x:v>0.297</x:v>
      </x:c>
      <x:c r="J48" s="18" t="n">
        <x:v>0.0745</x:v>
      </x:c>
      <x:c r="K48" s="18" t="n">
        <x:f>G48-H48</x:f>
        <x:v>2.1158</x:v>
      </x:c>
    </x:row>
    <x:row r="49">
      <x:c r="A49" s="14" t="n">
        <x:v>44470</x:v>
      </x:c>
      <x:c r="B49" s="15" t="str">
        <x:v>Oct-2021</x:v>
      </x:c>
      <x:c r="C49" s="16" t="n">
        <x:v>55</x:v>
      </x:c>
      <x:c r="D49" s="17" t="n">
        <x:v>5500</x:v>
      </x:c>
      <x:c r="E49" s="18" t="n">
        <x:v>0.21559999999999999</x:v>
      </x:c>
      <x:c r="F49" s="18" t="n">
        <x:v>-0.0368</x:v>
      </x:c>
      <x:c r="G49" s="18" t="n">
        <x:v>1.2816999999999998</x:v>
      </x:c>
      <x:c r="H49" s="18" t="n">
        <x:v>0.3807</x:v>
      </x:c>
      <x:c r="I49" s="18" t="n">
        <x:v>0.1887</x:v>
      </x:c>
      <x:c r="J49" s="18" t="n">
        <x:v>0.0699</x:v>
      </x:c>
      <x:c r="K49" s="18" t="n">
        <x:f>G49-H49</x:f>
        <x:v>0.9009999999999998</x:v>
      </x:c>
    </x:row>
    <x:row r="50">
      <x:c r="A50" s="14" t="n">
        <x:v>44501</x:v>
      </x:c>
      <x:c r="B50" s="15" t="str">
        <x:v>Nov-2021</x:v>
      </x:c>
      <x:c r="C50" s="16" t="n">
        <x:v>38</x:v>
      </x:c>
      <x:c r="D50" s="17" t="n">
        <x:v>3800</x:v>
      </x:c>
      <x:c r="E50" s="18" t="n">
        <x:v>0.0741</x:v>
      </x:c>
      <x:c r="F50" s="18" t="n">
        <x:v>0.012</x:v>
      </x:c>
      <x:c r="G50" s="18" t="n">
        <x:v>4.319</x:v>
      </x:c>
      <x:c r="H50" s="18" t="n">
        <x:v>0.35009999999999997</x:v>
      </x:c>
      <x:c r="I50" s="18" t="n">
        <x:v>0.42840000000000006</x:v>
      </x:c>
      <x:c r="J50" s="18" t="n">
        <x:v>0.0661</x:v>
      </x:c>
      <x:c r="K50" s="18" t="n">
        <x:f>G50-H50</x:f>
        <x:v>3.9689</x:v>
      </x:c>
    </x:row>
    <x:row r="51">
      <x:c r="A51" s="14" t="n">
        <x:v>44531</x:v>
      </x:c>
      <x:c r="B51" s="15" t="str">
        <x:v>Dec-2021</x:v>
      </x:c>
      <x:c r="C51" s="16" t="n">
        <x:v>21</x:v>
      </x:c>
      <x:c r="D51" s="17" t="n">
        <x:v>2100</x:v>
      </x:c>
      <x:c r="E51" s="18" t="n">
        <x:v>0.1679</x:v>
      </x:c>
      <x:c r="F51" s="18" t="n">
        <x:v>0.0959</x:v>
      </x:c>
      <x:c r="G51" s="18" t="n">
        <x:v>1.5036</x:v>
      </x:c>
      <x:c r="H51" s="18" t="n">
        <x:v>0.41009999999999996</x:v>
      </x:c>
      <x:c r="I51" s="18" t="n">
        <x:v>0.2205</x:v>
      </x:c>
      <x:c r="J51" s="18" t="n">
        <x:v>0.0775</x:v>
      </x:c>
      <x:c r="K51" s="18" t="n">
        <x:f>G51-H51</x:f>
        <x:v>1.0935000000000001</x:v>
      </x:c>
    </x:row>
    <x:row r="52">
      <x:c r="A52" s="14" t="n">
        <x:v>44562</x:v>
      </x:c>
      <x:c r="B52" s="15" t="str">
        <x:v>Jan-2022</x:v>
      </x:c>
      <x:c r="C52" s="16" t="n">
        <x:v>3</x:v>
      </x:c>
      <x:c r="D52" s="17" t="n">
        <x:v>300</x:v>
      </x:c>
      <x:c r="E52" s="18" t="n">
        <x:v>0.9013</x:v>
      </x:c>
      <x:c r="F52" s="18" t="n">
        <x:v>0.032400000000000005</x:v>
      </x:c>
      <x:c r="G52" s="18" t="n">
        <x:v>3.9218</x:v>
      </x:c>
      <x:c r="H52" s="18" t="n">
        <x:v>0.3734</x:v>
      </x:c>
      <x:c r="I52" s="18" t="n">
        <x:v>0.4227</x:v>
      </x:c>
      <x:c r="J52" s="18" t="n">
        <x:v>0.0727</x:v>
      </x:c>
      <x:c r="K52" s="18" t="n">
        <x:f>G52-H52</x:f>
        <x:v>3.5484</x:v>
      </x:c>
    </x:row>
    <x:row r="53">
      <x:c r="A53" s="14" t="n">
        <x:v>44593</x:v>
      </x:c>
      <x:c r="B53" s="15" t="str">
        <x:v>Feb-2022</x:v>
      </x:c>
      <x:c r="C53" s="16" t="n">
        <x:v>8</x:v>
      </x:c>
      <x:c r="D53" s="17" t="n">
        <x:v>800</x:v>
      </x:c>
      <x:c r="E53" s="18" t="n">
        <x:v>0.0226</x:v>
      </x:c>
      <x:c r="F53" s="18" t="n">
        <x:v>0.0022</x:v>
      </x:c>
      <x:c r="G53" s="18" t="n">
        <x:v>1.2768000000000002</x:v>
      </x:c>
      <x:c r="H53" s="18" t="n">
        <x:v>0.3772</x:v>
      </x:c>
      <x:c r="I53" s="18" t="n">
        <x:v>0.20379999999999998</x:v>
      </x:c>
      <x:c r="J53" s="18" t="n">
        <x:v>0.0748</x:v>
      </x:c>
      <x:c r="K53" s="18" t="n">
        <x:f>G53-H53</x:f>
        <x:v>0.8996000000000002</x:v>
      </x:c>
    </x:row>
    <x:row r="54">
      <x:c r="A54" s="14" t="n">
        <x:v>44621</x:v>
      </x:c>
      <x:c r="B54" s="15" t="str">
        <x:v>Mar-2022</x:v>
      </x:c>
      <x:c r="C54" s="16" t="n">
        <x:v>9</x:v>
      </x:c>
      <x:c r="D54" s="17" t="n">
        <x:v>900</x:v>
      </x:c>
      <x:c r="E54" s="18" t="n">
        <x:v>0.3362</x:v>
      </x:c>
      <x:c r="F54" s="18" t="n">
        <x:v>0.0509</x:v>
      </x:c>
      <x:c r="G54" s="18" t="n">
        <x:v>2.5974</x:v>
      </x:c>
      <x:c r="H54" s="18" t="n">
        <x:v>0.45770000000000005</x:v>
      </x:c>
      <x:c r="I54" s="18" t="n">
        <x:v>0.3414</x:v>
      </x:c>
      <x:c r="J54" s="18" t="n">
        <x:v>0.09029999999999999</x:v>
      </x:c>
      <x:c r="K54" s="18" t="n">
        <x:f>G54-H54</x:f>
        <x:v>2.1397</x:v>
      </x:c>
    </x:row>
    <x:row r="55">
      <x:c r="A55" s="14" t="n">
        <x:v>44652</x:v>
      </x:c>
      <x:c r="B55" s="15" t="str">
        <x:v>Apr-2022</x:v>
      </x:c>
      <x:c r="C55" s="16" t="n">
        <x:v>12</x:v>
      </x:c>
      <x:c r="D55" s="17" t="n">
        <x:v>1200</x:v>
      </x:c>
      <x:c r="E55" s="18" t="n">
        <x:v>0.851</x:v>
      </x:c>
      <x:c r="F55" s="18" t="n">
        <x:v>-0.0154</x:v>
      </x:c>
      <x:c r="G55" s="18" t="n">
        <x:v>3.6622000000000003</x:v>
      </x:c>
      <x:c r="H55" s="18" t="n">
        <x:v>0.3699</x:v>
      </x:c>
      <x:c r="I55" s="18" t="n">
        <x:v>0.4336</x:v>
      </x:c>
      <x:c r="J55" s="18" t="n">
        <x:v>0.0764</x:v>
      </x:c>
      <x:c r="K55" s="18" t="n">
        <x:f>G55-H55</x:f>
        <x:v>3.2923000000000004</x:v>
      </x:c>
    </x:row>
    <x:row r="56">
      <x:c r="A56" s="14" t="n">
        <x:v>44682</x:v>
      </x:c>
      <x:c r="B56" s="15" t="str">
        <x:v>May-2022</x:v>
      </x:c>
      <x:c r="C56" s="16" t="n">
        <x:v>6</x:v>
      </x:c>
      <x:c r="D56" s="17" t="n">
        <x:v>600</x:v>
      </x:c>
      <x:c r="E56" s="18" t="n">
        <x:v>0.1978</x:v>
      </x:c>
      <x:c r="F56" s="18" t="n">
        <x:v>0.0632</x:v>
      </x:c>
      <x:c r="G56" s="18" t="n">
        <x:v>0.6439</x:v>
      </x:c>
      <x:c r="H56" s="18" t="n">
        <x:v>0.4182</x:v>
      </x:c>
      <x:c r="I56" s="18" t="n">
        <x:v>0.1259</x:v>
      </x:c>
      <x:c r="J56" s="18" t="n">
        <x:v>0.08689999999999999</x:v>
      </x:c>
      <x:c r="K56" s="18" t="n">
        <x:f>G56-H56</x:f>
        <x:v>0.2257</x:v>
      </x:c>
    </x:row>
    <x:row r="57">
      <x:c r="A57" s="14" t="n">
        <x:v>44743</x:v>
      </x:c>
      <x:c r="B57" s="15" t="str">
        <x:v>Jul-2022</x:v>
      </x:c>
      <x:c r="C57" s="16" t="n">
        <x:v>6</x:v>
      </x:c>
      <x:c r="D57" s="17" t="n">
        <x:v>600</x:v>
      </x:c>
      <x:c r="E57" s="18" t="n">
        <x:v>0.2046</x:v>
      </x:c>
      <x:c r="F57" s="18" t="n">
        <x:v>0.2267</x:v>
      </x:c>
      <x:c r="G57" s="18" t="n">
        <x:v>0.3122</x:v>
      </x:c>
      <x:c r="H57" s="18" t="n">
        <x:v>0.5367000000000001</x:v>
      </x:c>
      <x:c r="I57" s="18" t="n">
        <x:v>0.0698</x:v>
      </x:c>
      <x:c r="J57" s="18" t="n">
        <x:v>0.1127</x:v>
      </x:c>
      <x:c r="K57" s="18" t="n">
        <x:f>G57-H57</x:f>
        <x:v>-0.2245000000000001</x:v>
      </x:c>
    </x:row>
    <x:row r="58">
      <x:c r="A58" s="14" t="n">
        <x:v>44774</x:v>
      </x:c>
      <x:c r="B58" s="15" t="str">
        <x:v>Aug-2022</x:v>
      </x:c>
      <x:c r="C58" s="16" t="n">
        <x:v>5</x:v>
      </x:c>
      <x:c r="D58" s="17" t="n">
        <x:v>500</x:v>
      </x:c>
      <x:c r="E58" s="18" t="n">
        <x:v>0.5643</x:v>
      </x:c>
      <x:c r="F58" s="18" t="n">
        <x:v>0.138</x:v>
      </x:c>
      <x:c r="G58" s="18" t="n">
        <x:v>0.5624</x:v>
      </x:c>
      <x:c r="H58" s="18" t="n">
        <x:v>0.396</x:v>
      </x:c>
      <x:c r="I58" s="18" t="n">
        <x:v>0.1199</x:v>
      </x:c>
      <x:c r="J58" s="18" t="n">
        <x:v>0.08839999999999999</x:v>
      </x:c>
      <x:c r="K58" s="18" t="n">
        <x:f>G58-H58</x:f>
        <x:v>0.1664</x:v>
      </x:c>
    </x:row>
    <x:row r="59">
      <x:c r="A59" s="14" t="n">
        <x:v>44835</x:v>
      </x:c>
      <x:c r="B59" s="15" t="str">
        <x:v>Oct-2022</x:v>
      </x:c>
      <x:c r="C59" s="16" t="n">
        <x:v>21</x:v>
      </x:c>
      <x:c r="D59" s="17" t="n">
        <x:v>2100</x:v>
      </x:c>
      <x:c r="E59" s="18" t="n">
        <x:v>0.4436</x:v>
      </x:c>
      <x:c r="F59" s="18" t="n">
        <x:v>0.1564</x:v>
      </x:c>
      <x:c r="G59" s="18" t="n">
        <x:v>0.8653</x:v>
      </x:c>
      <x:c r="H59" s="18" t="n">
        <x:v>0.4334</x:v>
      </x:c>
      <x:c r="I59" s="18" t="n">
        <x:v>0.1797</x:v>
      </x:c>
      <x:c r="J59" s="18" t="n">
        <x:v>0.1001</x:v>
      </x:c>
      <x:c r="K59" s="18" t="n">
        <x:f>G59-H59</x:f>
        <x:v>0.43189999999999995</x:v>
      </x:c>
    </x:row>
    <x:row r="60">
      <x:c r="A60" s="14" t="n">
        <x:v>44866</x:v>
      </x:c>
      <x:c r="B60" s="15" t="str">
        <x:v>Nov-2022</x:v>
      </x:c>
      <x:c r="C60" s="16" t="n">
        <x:v>33</x:v>
      </x:c>
      <x:c r="D60" s="17" t="n">
        <x:v>3300</x:v>
      </x:c>
      <x:c r="E60" s="18" t="n">
        <x:v>0.3259</x:v>
      </x:c>
      <x:c r="F60" s="18" t="n">
        <x:v>0.04650000000000001</x:v>
      </x:c>
      <x:c r="G60" s="18" t="n">
        <x:v>0.7053</x:v>
      </x:c>
      <x:c r="H60" s="18" t="n">
        <x:v>0.33409999999999995</x:v>
      </x:c>
      <x:c r="I60" s="18" t="n">
        <x:v>0.1557</x:v>
      </x:c>
      <x:c r="J60" s="18" t="n">
        <x:v>0.08130000000000001</x:v>
      </x:c>
      <x:c r="K60" s="18" t="n">
        <x:f>G60-H60</x:f>
        <x:v>0.3712000000000001</x:v>
      </x:c>
    </x:row>
    <x:row r="61">
      <x:c r="A61" s="14" t="n">
        <x:v>44896</x:v>
      </x:c>
      <x:c r="B61" s="15" t="str">
        <x:v>Dec-2022</x:v>
      </x:c>
      <x:c r="C61" s="16" t="n">
        <x:v>5</x:v>
      </x:c>
      <x:c r="D61" s="17" t="n">
        <x:v>500</x:v>
      </x:c>
      <x:c r="E61" s="18" t="n">
        <x:v>0.16760000000000003</x:v>
      </x:c>
      <x:c r="F61" s="18" t="n">
        <x:v>0.0774</x:v>
      </x:c>
      <x:c r="G61" s="18" t="n">
        <x:v>0.39649999999999996</x:v>
      </x:c>
      <x:c r="H61" s="18" t="n">
        <x:v>0.2867</x:v>
      </x:c>
      <x:c r="I61" s="18" t="n">
        <x:v>0.09699999999999999</x:v>
      </x:c>
      <x:c r="J61" s="18" t="n">
        <x:v>0.0724</x:v>
      </x:c>
      <x:c r="K61" s="18" t="n">
        <x:f>G61-H61</x:f>
        <x:v>0.10979999999999995</x:v>
      </x:c>
    </x:row>
    <x:row r="62">
      <x:c r="A62" s="14" t="n">
        <x:v>44958</x:v>
      </x:c>
      <x:c r="B62" s="15" t="str">
        <x:v>Feb-2023</x:v>
      </x:c>
      <x:c r="C62" s="16" t="n">
        <x:v>15</x:v>
      </x:c>
      <x:c r="D62" s="17" t="n">
        <x:v>1500</x:v>
      </x:c>
      <x:c r="E62" s="18" t="n">
        <x:v>0.8265</x:v>
      </x:c>
      <x:c r="F62" s="18" t="n">
        <x:v>0.23170000000000002</x:v>
      </x:c>
      <x:c r="G62" s="18" t="n">
        <x:v>1.7050999999999998</x:v>
      </x:c>
      <x:c r="H62" s="18" t="n">
        <x:v>0.3741</x:v>
      </x:c>
      <x:c r="I62" s="18" t="n">
        <x:v>0.33590000000000003</x:v>
      </x:c>
      <x:c r="J62" s="18" t="n">
        <x:v>0.0969</x:v>
      </x:c>
      <x:c r="K62" s="18" t="n">
        <x:f>G62-H62</x:f>
        <x:v>1.331</x:v>
      </x:c>
    </x:row>
    <x:row r="63">
      <x:c r="A63" s="14" t="n">
        <x:v>44986</x:v>
      </x:c>
      <x:c r="B63" s="15" t="str">
        <x:v>Mar-2023</x:v>
      </x:c>
      <x:c r="C63" s="16" t="n">
        <x:v>15</x:v>
      </x:c>
      <x:c r="D63" s="17" t="n">
        <x:v>1500</x:v>
      </x:c>
      <x:c r="E63" s="18" t="n">
        <x:v>0.5507</x:v>
      </x:c>
      <x:c r="F63" s="18" t="n">
        <x:v>0.2801</x:v>
      </x:c>
      <x:c r="G63" s="18" t="n">
        <x:v>1.4140000000000001</x:v>
      </x:c>
      <x:c r="H63" s="18" t="n">
        <x:v>0.3871</x:v>
      </x:c>
      <x:c r="I63" s="18" t="n">
        <x:v>0.3</x:v>
      </x:c>
      <x:c r="J63" s="18" t="n">
        <x:v>0.1023</x:v>
      </x:c>
      <x:c r="K63" s="18" t="n">
        <x:f>G63-H63</x:f>
        <x:v>1.0269000000000001</x:v>
      </x:c>
    </x:row>
    <x:row r="64">
      <x:c r="A64" s="14" t="n">
        <x:v>45017</x:v>
      </x:c>
      <x:c r="B64" s="15" t="str">
        <x:v>Apr-2023</x:v>
      </x:c>
      <x:c r="C64" s="16" t="n">
        <x:v>8</x:v>
      </x:c>
      <x:c r="D64" s="17" t="n">
        <x:v>800</x:v>
      </x:c>
      <x:c r="E64" s="18" t="n">
        <x:v>0.6817</x:v>
      </x:c>
      <x:c r="F64" s="18" t="n">
        <x:v>0.29109999999999997</x:v>
      </x:c>
      <x:c r="G64" s="18" t="n">
        <x:v>0.3479</x:v>
      </x:c>
      <x:c r="H64" s="18" t="n">
        <x:v>0.3914</x:v>
      </x:c>
      <x:c r="I64" s="18" t="n">
        <x:v>0.0955</x:v>
      </x:c>
      <x:c r="J64" s="18" t="n">
        <x:v>0.1061</x:v>
      </x:c>
      <x:c r="K64" s="18" t="n">
        <x:f>G64-H64</x:f>
        <x:v>-0.04350000000000004</x:v>
      </x:c>
    </x:row>
    <x:row r="65">
      <x:c r="A65" s="14" t="n">
        <x:v>45047</x:v>
      </x:c>
      <x:c r="B65" s="15" t="str">
        <x:v>May-2023</x:v>
      </x:c>
      <x:c r="C65" s="16" t="n">
        <x:v>7</x:v>
      </x:c>
      <x:c r="D65" s="17" t="n">
        <x:v>700</x:v>
      </x:c>
      <x:c r="E65" s="18" t="n">
        <x:v>0.6378</x:v>
      </x:c>
      <x:c r="F65" s="18" t="n">
        <x:v>0.248</x:v>
      </x:c>
      <x:c r="G65" s="18" t="n">
        <x:v>0.8704000000000001</x:v>
      </x:c>
      <x:c r="H65" s="18" t="n">
        <x:v>0.33390000000000003</x:v>
      </x:c>
      <x:c r="I65" s="18" t="n">
        <x:v>0.2167</x:v>
      </x:c>
      <x:c r="J65" s="18" t="n">
        <x:v>0.0944</x:v>
      </x:c>
      <x:c r="K65" s="18" t="n">
        <x:f>G65-H65</x:f>
        <x:v>0.5365</x:v>
      </x:c>
    </x:row>
    <x:row r="66">
      <x:c r="A66" s="14" t="n">
        <x:v>45078</x:v>
      </x:c>
      <x:c r="B66" s="15" t="str">
        <x:v>Jun-2023</x:v>
      </x:c>
      <x:c r="C66" s="16" t="n">
        <x:v>6</x:v>
      </x:c>
      <x:c r="D66" s="17" t="n">
        <x:v>600</x:v>
      </x:c>
      <x:c r="E66" s="18" t="n">
        <x:v>1.0605</x:v>
      </x:c>
      <x:c r="F66" s="18" t="n">
        <x:v>0.2583</x:v>
      </x:c>
      <x:c r="G66" s="18" t="n">
        <x:v>1.4827000000000001</x:v>
      </x:c>
      <x:c r="H66" s="18" t="n">
        <x:v>0.3093</x:v>
      </x:c>
      <x:c r="I66" s="18" t="n">
        <x:v>0.34</x:v>
      </x:c>
      <x:c r="J66" s="18" t="n">
        <x:v>0.0906</x:v>
      </x:c>
      <x:c r="K66" s="18" t="n">
        <x:f>G66-H66</x:f>
        <x:v>1.1734</x:v>
      </x:c>
    </x:row>
    <x:row r="67">
      <x:c r="A67" s="14" t="n">
        <x:v>45108</x:v>
      </x:c>
      <x:c r="B67" s="15" t="str">
        <x:v>Jul-2023</x:v>
      </x:c>
      <x:c r="C67" s="16" t="n">
        <x:v>6</x:v>
      </x:c>
      <x:c r="D67" s="17" t="n">
        <x:v>600</x:v>
      </x:c>
      <x:c r="E67" s="18" t="n">
        <x:v>0.8613</x:v>
      </x:c>
      <x:c r="F67" s="18" t="n">
        <x:v>0.2494</x:v>
      </x:c>
      <x:c r="G67" s="18" t="n">
        <x:v>0.7426999999999999</x:v>
      </x:c>
      <x:c r="H67" s="18" t="n">
        <x:v>0.2528</x:v>
      </x:c>
      <x:c r="I67" s="18" t="n">
        <x:v>0.20149999999999998</x:v>
      </x:c>
      <x:c r="J67" s="18" t="n">
        <x:v>0.07730000000000001</x:v>
      </x:c>
      <x:c r="K67" s="18" t="n">
        <x:f>G67-H67</x:f>
        <x:v>0.4898999999999999</x:v>
      </x:c>
    </x:row>
    <x:row r="68">
      <x:c r="A68" s="14" t="n">
        <x:v>45139</x:v>
      </x:c>
      <x:c r="B68" s="15" t="str">
        <x:v>Aug-2023</x:v>
      </x:c>
      <x:c r="C68" s="16" t="n">
        <x:v>15</x:v>
      </x:c>
      <x:c r="D68" s="17" t="n">
        <x:v>1500</x:v>
      </x:c>
      <x:c r="E68" s="18" t="n">
        <x:v>0.5593</x:v>
      </x:c>
      <x:c r="F68" s="18" t="n">
        <x:v>0.26739999999999997</x:v>
      </x:c>
      <x:c r="G68" s="18" t="n">
        <x:v>0.40840000000000004</x:v>
      </x:c>
      <x:c r="H68" s="18" t="n">
        <x:v>0.2267</x:v>
      </x:c>
      <x:c r="I68" s="18" t="n">
        <x:v>0.1235</x:v>
      </x:c>
      <x:c r="J68" s="18" t="n">
        <x:v>0.07200000000000001</x:v>
      </x:c>
      <x:c r="K68" s="18" t="n">
        <x:f>G68-H68</x:f>
        <x:v>0.18170000000000003</x:v>
      </x:c>
    </x:row>
    <x:row r="69">
      <x:c r="A69" s="14" t="n">
        <x:v>45170</x:v>
      </x:c>
      <x:c r="B69" s="15" t="str">
        <x:v>Sep-2023</x:v>
      </x:c>
      <x:c r="C69" s="16" t="n">
        <x:v>6</x:v>
      </x:c>
      <x:c r="D69" s="17" t="n">
        <x:v>600</x:v>
      </x:c>
      <x:c r="E69" s="18" t="n">
        <x:v>0.8865999999999999</x:v>
      </x:c>
      <x:c r="F69" s="18" t="n">
        <x:v>0.3007</x:v>
      </x:c>
      <x:c r="G69" s="18" t="n">
        <x:v>0.988</x:v>
      </x:c>
      <x:c r="H69" s="18" t="n">
        <x:v>0.2455</x:v>
      </x:c>
      <x:c r="I69" s="18" t="n">
        <x:v>0.2721</x:v>
      </x:c>
      <x:c r="J69" s="18" t="n">
        <x:v>0.0799</x:v>
      </x:c>
      <x:c r="K69" s="18" t="n">
        <x:f>G69-H69</x:f>
        <x:v>0.7424999999999999</x:v>
      </x:c>
    </x:row>
    <x:row r="70">
      <x:c r="A70" s="14" t="n">
        <x:v>45200</x:v>
      </x:c>
      <x:c r="B70" s="15" t="str">
        <x:v>Oct-2023</x:v>
      </x:c>
      <x:c r="C70" s="16" t="n">
        <x:v>19</x:v>
      </x:c>
      <x:c r="D70" s="17" t="n">
        <x:v>1900</x:v>
      </x:c>
      <x:c r="E70" s="18" t="n">
        <x:v>0.7319</x:v>
      </x:c>
      <x:c r="F70" s="18" t="n">
        <x:v>0.321</x:v>
      </x:c>
      <x:c r="G70" s="18" t="n">
        <x:v>0.6603</x:v>
      </x:c>
      <x:c r="H70" s="18" t="n">
        <x:v>0.2396</x:v>
      </x:c>
      <x:c r="I70" s="18" t="n">
        <x:v>0.2006</x:v>
      </x:c>
      <x:c r="J70" s="18" t="n">
        <x:v>0.0805</x:v>
      </x:c>
      <x:c r="K70" s="18" t="n">
        <x:f>G70-H70</x:f>
        <x:v>0.42069999999999996</x:v>
      </x:c>
    </x:row>
    <x:row r="71">
      <x:c r="A71" s="14" t="n">
        <x:v>45231</x:v>
      </x:c>
      <x:c r="B71" s="15" t="str">
        <x:v>Nov-2023</x:v>
      </x:c>
      <x:c r="C71" s="16" t="n">
        <x:v>30</x:v>
      </x:c>
      <x:c r="D71" s="17" t="n">
        <x:v>3000</x:v>
      </x:c>
      <x:c r="E71" s="18" t="n">
        <x:v>0.43329999999999996</x:v>
      </x:c>
      <x:c r="F71" s="18" t="n">
        <x:v>0.2799</x:v>
      </x:c>
      <x:c r="G71" s="18" t="n">
        <x:v>0.429</x:v>
      </x:c>
      <x:c r="H71" s="18" t="n">
        <x:v>0.2748</x:v>
      </x:c>
      <x:c r="I71" s="18" t="n">
        <x:v>0.142</x:v>
      </x:c>
      <x:c r="J71" s="18" t="n">
        <x:v>0.09449999999999999</x:v>
      </x:c>
      <x:c r="K71" s="18" t="n">
        <x:f>G71-H71</x:f>
        <x:v>0.1542</x:v>
      </x:c>
    </x:row>
    <x:row r="72">
      <x:c r="A72" s="14" t="n">
        <x:v>45261</x:v>
      </x:c>
      <x:c r="B72" s="15" t="str">
        <x:v>Dec-2023</x:v>
      </x:c>
      <x:c r="C72" s="16" t="n">
        <x:v>6</x:v>
      </x:c>
      <x:c r="D72" s="17" t="n">
        <x:v>600</x:v>
      </x:c>
      <x:c r="E72" s="18" t="n">
        <x:v>0.7258</x:v>
      </x:c>
      <x:c r="F72" s="18" t="n">
        <x:v>0.1978</x:v>
      </x:c>
      <x:c r="G72" s="18" t="n">
        <x:v>1.7396</x:v>
      </x:c>
      <x:c r="H72" s="18" t="n">
        <x:v>0.1943</x:v>
      </x:c>
      <x:c r="I72" s="18" t="n">
        <x:v>0.4721</x:v>
      </x:c>
      <x:c r="J72" s="18" t="n">
        <x:v>0.0705</x:v>
      </x:c>
      <x:c r="K72" s="18" t="n">
        <x:f>G72-H72</x:f>
        <x:v>1.5453000000000001</x:v>
      </x:c>
    </x:row>
    <x:row r="73">
      <x:c r="A73" s="14" t="n">
        <x:v>45292</x:v>
      </x:c>
      <x:c r="B73" s="15" t="str">
        <x:v>Jan-2024</x:v>
      </x:c>
      <x:c r="C73" s="16" t="n">
        <x:v>17</x:v>
      </x:c>
      <x:c r="D73" s="17" t="n">
        <x:v>1700</x:v>
      </x:c>
      <x:c r="E73" s="18" t="n">
        <x:v>0.2893</x:v>
      </x:c>
      <x:c r="F73" s="18" t="n">
        <x:v>0.092</x:v>
      </x:c>
      <x:c r="G73" s="18" t="n">
        <x:v>0.2561</x:v>
      </x:c>
      <x:c r="H73" s="18" t="n">
        <x:v>0.1134</x:v>
      </x:c>
      <x:c r="I73" s="18" t="n">
        <x:v>0.0946</x:v>
      </x:c>
      <x:c r="J73" s="18" t="n">
        <x:v>0.0435</x:v>
      </x:c>
      <x:c r="K73" s="18" t="n">
        <x:f>G73-H73</x:f>
        <x:v>0.1427</x:v>
      </x:c>
    </x:row>
    <x:row r="74">
      <x:c r="A74" s="14" t="n">
        <x:v>45323</x:v>
      </x:c>
      <x:c r="B74" s="15" t="str">
        <x:v>Feb-2024</x:v>
      </x:c>
      <x:c r="C74" s="16" t="n">
        <x:v>13</x:v>
      </x:c>
      <x:c r="D74" s="17" t="n">
        <x:v>1300</x:v>
      </x:c>
      <x:c r="E74" s="18" t="n">
        <x:v>0.345</x:v>
      </x:c>
      <x:c r="F74" s="18" t="n">
        <x:v>0.0823</x:v>
      </x:c>
      <x:c r="G74" s="18" t="n">
        <x:v>0.4963</x:v>
      </x:c>
      <x:c r="H74" s="18" t="n">
        <x:v>0.1157</x:v>
      </x:c>
      <x:c r="I74" s="18" t="n">
        <x:v>0.17989999999999998</x:v>
      </x:c>
      <x:c r="J74" s="18" t="n">
        <x:v>0.045899999999999996</x:v>
      </x:c>
      <x:c r="K74" s="18" t="n">
        <x:f>G74-H74</x:f>
        <x:v>0.38060000000000005</x:v>
      </x:c>
    </x:row>
    <x:row r="75">
      <x:c r="A75" s="14" t="n">
        <x:v>45352</x:v>
      </x:c>
      <x:c r="B75" s="15" t="str">
        <x:v>Mar-2024</x:v>
      </x:c>
      <x:c r="C75" s="16" t="n">
        <x:v>16</x:v>
      </x:c>
      <x:c r="D75" s="17" t="n">
        <x:v>1600</x:v>
      </x:c>
      <x:c r="E75" s="18" t="n">
        <x:v>-0.008</x:v>
      </x:c>
      <x:c r="F75" s="18" t="n">
        <x:v>-0.0098</x:v>
      </x:c>
      <x:c r="G75" s="18" t="n">
        <x:v>0.1697</x:v>
      </x:c>
      <x:c r="H75" s="18" t="n">
        <x:v>0.0836</x:v>
      </x:c>
      <x:c r="I75" s="18" t="n">
        <x:v>0.0688</x:v>
      </x:c>
      <x:c r="J75" s="18" t="n">
        <x:v>0.0347</x:v>
      </x:c>
      <x:c r="K75" s="18" t="n">
        <x:f>G75-H75</x:f>
        <x:v>0.0861</x:v>
      </x:c>
    </x:row>
    <x:row r="76">
      <x:c r="A76" s="14" t="n">
        <x:v>45383</x:v>
      </x:c>
      <x:c r="B76" s="15" t="str">
        <x:v>Apr-2024</x:v>
      </x:c>
      <x:c r="C76" s="16" t="n">
        <x:v>18</x:v>
      </x:c>
      <x:c r="D76" s="17" t="n">
        <x:v>1800</x:v>
      </x:c>
      <x:c r="E76" s="18" t="n">
        <x:v>0.2613</x:v>
      </x:c>
      <x:c r="F76" s="18" t="n">
        <x:v>0.0313</x:v>
      </x:c>
      <x:c r="G76" s="18" t="n">
        <x:v>0.21280000000000002</x:v>
      </x:c>
      <x:c r="H76" s="18" t="n">
        <x:v>0.07769999999999999</x:v>
      </x:c>
      <x:c r="I76" s="18" t="n">
        <x:v>0.0886</x:v>
      </x:c>
      <x:c r="J76" s="18" t="n">
        <x:v>0.0335</x:v>
      </x:c>
      <x:c r="K76" s="18" t="n">
        <x:f>G76-H76</x:f>
        <x:v>0.13510000000000003</x:v>
      </x:c>
    </x:row>
    <x:row r="77">
      <x:c r="A77" s="14" t="n">
        <x:v>45413</x:v>
      </x:c>
      <x:c r="B77" s="15" t="str">
        <x:v>May-2024</x:v>
      </x:c>
      <x:c r="C77" s="16" t="n">
        <x:v>13</x:v>
      </x:c>
      <x:c r="D77" s="17" t="n">
        <x:v>1300</x:v>
      </x:c>
      <x:c r="E77" s="18" t="n">
        <x:v>0.045599999999999995</x:v>
      </x:c>
      <x:c r="F77" s="18" t="n">
        <x:v>0.075</x:v>
      </x:c>
      <x:c r="G77" s="18" t="n">
        <x:v>0.9116</x:v>
      </x:c>
      <x:c r="H77" s="18" t="n">
        <x:v>0.0688</x:v>
      </x:c>
      <x:c r="I77" s="18" t="n">
        <x:v>0.3442</x:v>
      </x:c>
      <x:c r="J77" s="18" t="n">
        <x:v>0.030899999999999997</x:v>
      </x:c>
      <x:c r="K77" s="18" t="n">
        <x:f>G77-H77</x:f>
        <x:v>0.8428</x:v>
      </x:c>
    </x:row>
    <x:row r="78">
      <x:c r="A78" s="14" t="n">
        <x:v>45444</x:v>
      </x:c>
      <x:c r="B78" s="15" t="str">
        <x:v>Jun-2024</x:v>
      </x:c>
      <x:c r="C78" s="16" t="n">
        <x:v>22</x:v>
      </x:c>
      <x:c r="D78" s="17" t="n">
        <x:v>2200</x:v>
      </x:c>
      <x:c r="E78" s="18" t="n">
        <x:v>0.25920000000000004</x:v>
      </x:c>
      <x:c r="F78" s="18" t="n">
        <x:v>0.062400000000000004</x:v>
      </x:c>
      <x:c r="G78" s="18" t="n">
        <x:v>0.354</x:v>
      </x:c>
      <x:c r="H78" s="18" t="n">
        <x:v>0.0405</x:v>
      </x:c>
      <x:c r="I78" s="18" t="n">
        <x:v>0.1548</x:v>
      </x:c>
      <x:c r="J78" s="18" t="n">
        <x:v>0.0191</x:v>
      </x:c>
      <x:c r="K78" s="18" t="n">
        <x:f>G78-H78</x:f>
        <x:v>0.3135</x:v>
      </x:c>
    </x:row>
    <x:row r="79">
      <x:c r="A79" s="14" t="n">
        <x:v>45474</x:v>
      </x:c>
      <x:c r="B79" s="15" t="str">
        <x:v>Jul-2024</x:v>
      </x:c>
      <x:c r="C79" s="16" t="n">
        <x:v>3</x:v>
      </x:c>
      <x:c r="D79" s="17" t="n">
        <x:v>300</x:v>
      </x:c>
      <x:c r="E79" s="18" t="n">
        <x:v>-0.055</x:v>
      </x:c>
      <x:c r="F79" s="18" t="n">
        <x:v>0.057999999999999996</x:v>
      </x:c>
      <x:c r="G79" s="18" t="n">
        <x:v>-0.43189999999999995</x:v>
      </x:c>
      <x:c r="H79" s="18" t="n">
        <x:v>0.0027</x:v>
      </x:c>
      <x:c r="I79" s="18" t="n">
        <x:v>-0.2438</x:v>
      </x:c>
      <x:c r="J79" s="18" t="n">
        <x:v>0.0013</x:v>
      </x:c>
      <x:c r="K79" s="18" t="n">
        <x:f>G79-H79</x:f>
        <x:v>-0.43459999999999993</x:v>
      </x:c>
    </x:row>
    <x:row r="80">
      <x:c r="A80" s="14" t="n">
        <x:v>45505</x:v>
      </x:c>
      <x:c r="B80" s="15" t="str">
        <x:v>Aug-2024</x:v>
      </x:c>
      <x:c r="C80" s="16" t="n">
        <x:v>6</x:v>
      </x:c>
      <x:c r="D80" s="17" t="n">
        <x:v>600</x:v>
      </x:c>
      <x:c r="E80" s="18" t="n">
        <x:v>-0.1957</x:v>
      </x:c>
      <x:c r="F80" s="18" t="n">
        <x:v>-0.0178</x:v>
      </x:c>
      <x:c r="G80" s="18" t="n">
        <x:v>0.09269999999999999</x:v>
      </x:c>
      <x:c r="H80" s="18" t="n">
        <x:v>-0.0321</x:v>
      </x:c>
      <x:c r="I80" s="18" t="n">
        <x:v>0.046799999999999994</x:v>
      </x:c>
      <x:c r="J80" s="18" t="n">
        <x:v>-0.0167</x:v>
      </x:c>
      <x:c r="K80" s="18" t="n">
        <x:f>G80-H80</x:f>
        <x:v>0.1248</x:v>
      </x:c>
    </x:row>
    <x:row r="81">
      <x:c r="A81" s="14" t="n">
        <x:v>45536</x:v>
      </x:c>
      <x:c r="B81" s="15" t="str">
        <x:v>Sep-2024</x:v>
      </x:c>
      <x:c r="C81" s="16" t="n">
        <x:v>7</x:v>
      </x:c>
      <x:c r="D81" s="17" t="n">
        <x:v>700</x:v>
      </x:c>
      <x:c r="E81" s="18" t="n">
        <x:v>-0.12539999999999998</x:v>
      </x:c>
      <x:c r="F81" s="18" t="n">
        <x:v>-0.0259</x:v>
      </x:c>
      <x:c r="G81" s="18" t="n">
        <x:v>-0.1968</x:v>
      </x:c>
      <x:c r="H81" s="18" t="n">
        <x:v>-0.0424</x:v>
      </x:c>
      <x:c r="I81" s="18" t="n">
        <x:v>-0.1115</x:v>
      </x:c>
      <x:c r="J81" s="18" t="n">
        <x:v>-0.0231</x:v>
      </x:c>
      <x:c r="K81" s="18" t="n">
        <x:f>G81-H81</x:f>
        <x:v>-0.1544</x:v>
      </x:c>
    </x:row>
    <x:row r="82">
      <x:c r="A82" s="14" t="n">
        <x:v>45566</x:v>
      </x:c>
      <x:c r="B82" s="15" t="str">
        <x:v>Oct-2024</x:v>
      </x:c>
      <x:c r="C82" s="16" t="n">
        <x:v>4</x:v>
      </x:c>
      <x:c r="D82" s="17" t="n">
        <x:v>400</x:v>
      </x:c>
      <x:c r="E82" s="18" t="n">
        <x:v>0.08470000000000001</x:v>
      </x:c>
      <x:c r="F82" s="18" t="n">
        <x:v>-0.037200000000000004</x:v>
      </x:c>
      <x:c r="G82" s="18" t="n">
        <x:v>-0.285</x:v>
      </x:c>
      <x:c r="H82" s="18" t="n">
        <x:v>-0.0616</x:v>
      </x:c>
      <x:c r="I82" s="18" t="n">
        <x:v>-0.1725</x:v>
      </x:c>
      <x:c r="J82" s="18" t="n">
        <x:v>-0.0353</x:v>
      </x:c>
      <x:c r="K82" s="18" t="n">
        <x:f>G82-H82</x:f>
        <x:v>-0.2234</x:v>
      </x:c>
    </x:row>
    <x:row r="83">
      <x:c r="A83" s="14" t="n">
        <x:v>45597</x:v>
      </x:c>
      <x:c r="B83" s="15" t="str">
        <x:v>Nov-2024</x:v>
      </x:c>
      <x:c r="C83" s="16" t="n">
        <x:v>10</x:v>
      </x:c>
      <x:c r="D83" s="17" t="n">
        <x:v>1000</x:v>
      </x:c>
      <x:c r="E83" s="18" t="n">
        <x:v>-0.1079</x:v>
      </x:c>
      <x:c r="F83" s="18" t="n">
        <x:v>0.06</x:v>
      </x:c>
      <x:c r="G83" s="18" t="n">
        <x:v>-0.22089999999999999</x:v>
      </x:c>
      <x:c r="H83" s="18" t="n">
        <x:v>-0.004</x:v>
      </x:c>
      <x:c r="I83" s="18" t="n">
        <x:v>-0.1376</x:v>
      </x:c>
      <x:c r="J83" s="18" t="n">
        <x:v>-0.0024</x:v>
      </x:c>
      <x:c r="K83" s="18" t="n">
        <x:f>G83-H83</x:f>
        <x:v>-0.21689999999999998</x:v>
      </x:c>
    </x:row>
    <x:row r="84">
      <x:c r="A84" s="14" t="n">
        <x:v>45627</x:v>
      </x:c>
      <x:c r="B84" s="15" t="str">
        <x:v>Dec-2024</x:v>
      </x:c>
      <x:c r="C84" s="16" t="n">
        <x:v>3</x:v>
      </x:c>
      <x:c r="D84" s="17" t="n">
        <x:v>300</x:v>
      </x:c>
      <x:c r="E84" s="18" t="n">
        <x:v>0.16879999999999998</x:v>
      </x:c>
      <x:c r="F84" s="18" t="n">
        <x:v>0.0783</x:v>
      </x:c>
      <x:c r="G84" s="18" t="n">
        <x:v>0.058899999999999994</x:v>
      </x:c>
      <x:c r="H84" s="18" t="n">
        <x:v>-0.0028000000000000004</x:v>
      </x:c>
      <x:c r="I84" s="18" t="n">
        <x:v>0.0363</x:v>
      </x:c>
      <x:c r="J84" s="18" t="n">
        <x:v>-0.0018</x:v>
      </x:c>
      <x:c r="K84" s="18" t="n">
        <x:f>G84-H84</x:f>
        <x:v>0.06169999999999999</x:v>
      </x:c>
    </x:row>
    <x:row r="85">
      <x:c r="A85" s="14" t="n">
        <x:v>45658</x:v>
      </x:c>
      <x:c r="B85" s="15" t="str">
        <x:v>Jan-2025</x:v>
      </x:c>
      <x:c r="C85" s="16" t="n">
        <x:v>36</x:v>
      </x:c>
      <x:c r="D85" s="17" t="n">
        <x:v>3600</x:v>
      </x:c>
      <x:c r="E85" s="18" t="n">
        <x:v>-0.12689999999999999</x:v>
      </x:c>
      <x:c r="F85" s="18" t="n">
        <x:v>0.1012</x:v>
      </x:c>
      <x:c r="G85" s="18" t="n">
        <x:v>0.023399999999999997</x:v>
      </x:c>
      <x:c r="H85" s="18" t="n">
        <x:v>0.0195</x:v>
      </x:c>
      <x:c r="I85" s="18" t="n">
        <x:v>0.015300000000000001</x:v>
      </x:c>
      <x:c r="J85" s="18" t="n">
        <x:v>0.0128</x:v>
      </x:c>
      <x:c r="K85" s="18" t="n">
        <x:f>G85-H85</x:f>
        <x:v>0.0038999999999999972</x:v>
      </x:c>
    </x:row>
    <x:row r="86">
      <x:c r="A86" s="19" t="n">
        <x:v>45839</x:v>
      </x:c>
      <x:c r="B86" s="20" t="str">
        <x:v>Jul-2025</x:v>
      </x:c>
      <x:c r="C86" s="21" t="n">
        <x:v>9</x:v>
      </x:c>
      <x:c r="D86" s="22" t="n">
        <x:v>900</x:v>
      </x:c>
      <x:c r="E86" s="23" t="n">
        <x:v>0.3206</x:v>
      </x:c>
      <x:c r="F86" s="23" t="n">
        <x:v>-0.0601</x:v>
      </x:c>
      <x:c r="G86" s="23" t="n">
        <x:v>0.3522</x:v>
      </x:c>
      <x:c r="H86" s="23" t="n">
        <x:v>-0.052300000000000006</x:v>
      </x:c>
      <x:c r="I86" s="23" t="n">
        <x:v>0.34259999999999996</x:v>
      </x:c>
      <x:c r="J86" s="23" t="n">
        <x:v>-0.051100000000000007</x:v>
      </x:c>
      <x:c r="K86" s="23" t="n">
        <x:f>G86-H86</x:f>
        <x:v>0.4045</x:v>
      </x:c>
    </x:row>
  </x:sheetData>
  <x:conditionalFormatting sqref="K2:K86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c99aeffec28418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68.88999938964844" hidden="0" customWidth="1"/>
    <x:col min="3" max="3" width="18.889999389648438" hidden="0" customWidth="1"/>
    <x:col min="4" max="4" width="18.889999389648438" hidden="0" customWidth="1"/>
  </x:cols>
  <x:sheetData>
    <x:row r="1">
      <x:c r="A1" s="25" t="str">
        <x:v>Notes</x:v>
      </x:c>
      <x:c r="B1" s="25" t="str">
        <x:v>Notes</x:v>
      </x:c>
      <x:c r="C1" s="25" t="str">
        <x:v>Notes</x:v>
      </x:c>
      <x:c r="D1" s="25" t="str">
        <x:v>Notes</x:v>
      </x:c>
    </x:row>
    <x:row r="3">
      <x:c r="A3" s="27" t="str">
        <x:v>Source</x:v>
      </x:c>
      <x:c r="B3" s="28" t="str">
        <x:v>/Users/adnankhan/.codex/attachments/a459cb42-59c6-4bc7-ae0c-d3d123878c08/pasted-text.txt</x:v>
      </x:c>
    </x:row>
    <x:row r="4">
      <x:c r="A4" s="27" t="str">
        <x:v>Rows included</x:v>
      </x:c>
      <x:c r="B4" s="28" t="n">
        <x:v>85</x:v>
      </x:c>
    </x:row>
    <x:row r="5">
      <x:c r="A5" s="27" t="str">
        <x:v>Rows excluded</x:v>
      </x:c>
      <x:c r="B5" s="28" t="str">
        <x:v>Skipped months where minimum stocks did not pass</x:v>
      </x:c>
    </x:row>
    <x:row r="6">
      <x:c r="A6" s="27" t="str">
        <x:v>Alpha formula</x:v>
      </x:c>
      <x:c r="B6" s="28" t="str">
        <x:v>Portfolio Total Return - NIFTY 50 Total Return</x:v>
      </x:c>
    </x:row>
    <x:row r="7">
      <x:c r="A7" s="27" t="str">
        <x:v>Percent fields</x:v>
      </x:c>
      <x:c r="B7" s="28" t="str">
        <x:v>Stored as numeric percentages</x:v>
      </x:c>
    </x:row>
    <x:row r="8">
      <x:c r="A8" s="27" t="str">
        <x:v>Generated on</x:v>
      </x:c>
      <x:c r="B8" s="29" t="n">
        <x:v>46213.47199928241</x:v>
      </x:c>
    </x:row>
  </x:sheetData>
  <x:mergeCells>
    <x:mergeCell ref="A1:D1"/>
  </x:mergeCells>
  <x:pageMargins left="0.7" right="0.7" top="0.75" bottom="0.75" header="0.3" footer="0.3"/>
</x:worksheet>
</file>